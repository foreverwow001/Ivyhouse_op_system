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/>
  <workbookPr filterPrivacy="1" defaultThemeVersion="124226"/>
  <xr:revisionPtr revIDLastSave="8046" documentId="13_ncr:1_{142F2669-AA35-4A6C-89C0-78A28991661D}" xr6:coauthVersionLast="47" xr6:coauthVersionMax="47" xr10:uidLastSave="{2F0943D0-6216-4BC0-8EF6-C65E7C127A45}"/>
  <bookViews>
    <workbookView xWindow="-120" yWindow="-120" windowWidth="29040" windowHeight="15720" activeTab="1" xr2:uid="{00000000-000D-0000-FFFF-FFFF00000000}"/>
  </bookViews>
  <sheets>
    <sheet name="出貨統計表" sheetId="1" r:id="rId1"/>
    <sheet name="餅乾庫存(製作)" sheetId="6" r:id="rId2"/>
    <sheet name="餅乾庫存(叫貨 )" sheetId="8" r:id="rId3"/>
  </sheets>
  <definedNames>
    <definedName name="calculate711">IFERROR(EVALUATE(#REF!),0)</definedName>
    <definedName name="calculate宅配">IFERROR(EVALUATE(#REF!),0)</definedName>
    <definedName name="calculation" localSheetId="2">IFERROR(EVALUATE('餅乾庫存(叫貨 )'!A1),0)</definedName>
    <definedName name="calculation" localSheetId="1">IFERROR(EVALUATE('餅乾庫存(製作)'!A1),0)</definedName>
    <definedName name="calculation">IFERROR(EVALUATE(出貨統計表!A1),0)</definedName>
    <definedName name="_xlnm.Print_Area" localSheetId="0">出貨統計表!$A$1:$H$82</definedName>
    <definedName name="_xlnm.Print_Area" localSheetId="2">'餅乾庫存(叫貨 )'!$A$1:$R$68</definedName>
    <definedName name="_xlnm.Print_Area" localSheetId="1">'餅乾庫存(製作)'!$A$1:$L$70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14" i="8" l="1"/>
  <c r="B5" i="1"/>
  <c r="C68" i="6"/>
  <c r="C68" i="8" s="1"/>
  <c r="C67" i="6"/>
  <c r="C67" i="8" s="1"/>
  <c r="C66" i="6"/>
  <c r="C66" i="8" s="1"/>
  <c r="C65" i="6"/>
  <c r="C65" i="8" s="1"/>
  <c r="C64" i="6"/>
  <c r="F63" i="6"/>
  <c r="E61" i="6"/>
  <c r="E61" i="8" s="1"/>
  <c r="C61" i="6"/>
  <c r="C60" i="6"/>
  <c r="C60" i="8" s="1"/>
  <c r="C59" i="6"/>
  <c r="C59" i="8" s="1"/>
  <c r="C58" i="6"/>
  <c r="E57" i="6"/>
  <c r="C57" i="6"/>
  <c r="E55" i="6"/>
  <c r="G55" i="8" s="1"/>
  <c r="K54" i="6"/>
  <c r="C54" i="6"/>
  <c r="K53" i="6"/>
  <c r="C53" i="6" s="1"/>
  <c r="E53" i="8" s="1"/>
  <c r="F53" i="6"/>
  <c r="H53" i="8" s="1"/>
  <c r="K52" i="6"/>
  <c r="E52" i="6"/>
  <c r="G52" i="8" s="1"/>
  <c r="C52" i="6"/>
  <c r="E52" i="8" s="1"/>
  <c r="K51" i="6"/>
  <c r="C51" i="6" s="1"/>
  <c r="E51" i="8" s="1"/>
  <c r="K50" i="6"/>
  <c r="C50" i="6" s="1"/>
  <c r="E50" i="8" s="1"/>
  <c r="F50" i="6"/>
  <c r="E50" i="6"/>
  <c r="G50" i="8" s="1"/>
  <c r="K49" i="6"/>
  <c r="C49" i="6"/>
  <c r="E49" i="8" s="1"/>
  <c r="K48" i="6"/>
  <c r="C48" i="6" s="1"/>
  <c r="E48" i="8" s="1"/>
  <c r="F47" i="6"/>
  <c r="H47" i="8" s="1"/>
  <c r="E47" i="6"/>
  <c r="G47" i="8" s="1"/>
  <c r="D45" i="6"/>
  <c r="F45" i="8" s="1"/>
  <c r="K44" i="6"/>
  <c r="C44" i="6" s="1"/>
  <c r="E44" i="8" s="1"/>
  <c r="E44" i="6"/>
  <c r="K43" i="6"/>
  <c r="C43" i="6"/>
  <c r="D41" i="6"/>
  <c r="D41" i="8" s="1"/>
  <c r="D40" i="6"/>
  <c r="D40" i="8" s="1"/>
  <c r="F40" i="8" s="1"/>
  <c r="J40" i="8" s="1"/>
  <c r="B34" i="6"/>
  <c r="D34" i="8" s="1"/>
  <c r="C33" i="6"/>
  <c r="H82" i="1"/>
  <c r="G82" i="1"/>
  <c r="H81" i="1"/>
  <c r="G81" i="1"/>
  <c r="G80" i="1"/>
  <c r="G79" i="1"/>
  <c r="G78" i="1"/>
  <c r="G77" i="1"/>
  <c r="E70" i="6" s="1"/>
  <c r="G70" i="8" s="1"/>
  <c r="I70" i="8" s="1"/>
  <c r="M70" i="8" s="1"/>
  <c r="G76" i="1"/>
  <c r="E68" i="6" s="1"/>
  <c r="E68" i="8" s="1"/>
  <c r="G75" i="1"/>
  <c r="E67" i="6" s="1"/>
  <c r="E67" i="8" s="1"/>
  <c r="G74" i="1"/>
  <c r="E66" i="6" s="1"/>
  <c r="E66" i="8" s="1"/>
  <c r="G73" i="1"/>
  <c r="E65" i="6" s="1"/>
  <c r="E65" i="8" s="1"/>
  <c r="H72" i="1"/>
  <c r="F64" i="6" s="1"/>
  <c r="F64" i="8" s="1"/>
  <c r="G72" i="1"/>
  <c r="E64" i="6" s="1"/>
  <c r="E64" i="8" s="1"/>
  <c r="H71" i="1"/>
  <c r="G71" i="1"/>
  <c r="E63" i="6" s="1"/>
  <c r="E63" i="8" s="1"/>
  <c r="G70" i="1"/>
  <c r="G69" i="1"/>
  <c r="E60" i="6" s="1"/>
  <c r="E60" i="8" s="1"/>
  <c r="G68" i="1"/>
  <c r="E59" i="6" s="1"/>
  <c r="E59" i="8" s="1"/>
  <c r="H67" i="1"/>
  <c r="F58" i="6" s="1"/>
  <c r="F58" i="8" s="1"/>
  <c r="G67" i="1"/>
  <c r="E58" i="6" s="1"/>
  <c r="E58" i="8" s="1"/>
  <c r="G66" i="1"/>
  <c r="G65" i="1"/>
  <c r="H64" i="1"/>
  <c r="F54" i="6" s="1"/>
  <c r="H54" i="8" s="1"/>
  <c r="G64" i="1"/>
  <c r="E54" i="6" s="1"/>
  <c r="G54" i="8" s="1"/>
  <c r="H63" i="1"/>
  <c r="G63" i="1"/>
  <c r="E53" i="6" s="1"/>
  <c r="G53" i="8" s="1"/>
  <c r="H62" i="1"/>
  <c r="F52" i="6" s="1"/>
  <c r="H52" i="8" s="1"/>
  <c r="G62" i="1"/>
  <c r="H61" i="1"/>
  <c r="F51" i="6" s="1"/>
  <c r="H51" i="8" s="1"/>
  <c r="G61" i="1"/>
  <c r="E51" i="6" s="1"/>
  <c r="G51" i="8" s="1"/>
  <c r="H60" i="1"/>
  <c r="G60" i="1"/>
  <c r="H59" i="1"/>
  <c r="F49" i="6" s="1"/>
  <c r="H49" i="8" s="1"/>
  <c r="G59" i="1"/>
  <c r="E49" i="6" s="1"/>
  <c r="G49" i="8" s="1"/>
  <c r="H58" i="1"/>
  <c r="F48" i="6" s="1"/>
  <c r="H48" i="8" s="1"/>
  <c r="G58" i="1"/>
  <c r="E48" i="6" s="1"/>
  <c r="G48" i="8" s="1"/>
  <c r="H57" i="1"/>
  <c r="G57" i="1"/>
  <c r="G54" i="1"/>
  <c r="H53" i="1"/>
  <c r="G53" i="1"/>
  <c r="D44" i="6" s="1"/>
  <c r="F44" i="8" s="1"/>
  <c r="H44" i="8" s="1"/>
  <c r="L44" i="8" s="1"/>
  <c r="H52" i="1"/>
  <c r="E43" i="6" s="1"/>
  <c r="G43" i="8" s="1"/>
  <c r="G52" i="1"/>
  <c r="D43" i="6" s="1"/>
  <c r="F43" i="8" s="1"/>
  <c r="H43" i="8" s="1"/>
  <c r="L43" i="8" s="1"/>
  <c r="G49" i="1"/>
  <c r="G48" i="1"/>
  <c r="G47" i="1"/>
  <c r="D39" i="6" s="1"/>
  <c r="D39" i="8" s="1"/>
  <c r="G46" i="1"/>
  <c r="D38" i="6" s="1"/>
  <c r="D38" i="8" s="1"/>
  <c r="G45" i="1"/>
  <c r="D37" i="6" s="1"/>
  <c r="D37" i="8" s="1"/>
  <c r="F37" i="8" s="1"/>
  <c r="J37" i="8" s="1"/>
  <c r="H44" i="1"/>
  <c r="C35" i="6" s="1"/>
  <c r="E35" i="8" s="1"/>
  <c r="G44" i="1"/>
  <c r="B35" i="6" s="1"/>
  <c r="D35" i="8" s="1"/>
  <c r="H43" i="1"/>
  <c r="C34" i="6" s="1"/>
  <c r="E34" i="8" s="1"/>
  <c r="G43" i="1"/>
  <c r="H42" i="1"/>
  <c r="G42" i="1"/>
  <c r="B33" i="6" s="1"/>
  <c r="D33" i="8" s="1"/>
  <c r="H41" i="1"/>
  <c r="C32" i="6" s="1"/>
  <c r="E32" i="8" s="1"/>
  <c r="G41" i="1"/>
  <c r="B32" i="6" s="1"/>
  <c r="D32" i="8" s="1"/>
  <c r="H40" i="1"/>
  <c r="C31" i="6" s="1"/>
  <c r="E31" i="8" s="1"/>
  <c r="G40" i="1"/>
  <c r="B31" i="6" s="1"/>
  <c r="D31" i="8" s="1"/>
  <c r="H37" i="1"/>
  <c r="B29" i="6" s="1"/>
  <c r="D29" i="8" s="1"/>
  <c r="E29" i="8" s="1"/>
  <c r="I29" i="8" s="1"/>
  <c r="E37" i="1"/>
  <c r="D37" i="1"/>
  <c r="D36" i="1"/>
  <c r="E36" i="1" s="1"/>
  <c r="H36" i="1" s="1"/>
  <c r="B28" i="6" s="1"/>
  <c r="D28" i="8" s="1"/>
  <c r="E28" i="8" s="1"/>
  <c r="I28" i="8" s="1"/>
  <c r="E35" i="1"/>
  <c r="H35" i="1" s="1"/>
  <c r="B27" i="6" s="1"/>
  <c r="D27" i="8" s="1"/>
  <c r="E27" i="8" s="1"/>
  <c r="I27" i="8" s="1"/>
  <c r="D35" i="1"/>
  <c r="D34" i="1"/>
  <c r="E34" i="1" s="1"/>
  <c r="H34" i="1" s="1"/>
  <c r="B26" i="6" s="1"/>
  <c r="D26" i="8" s="1"/>
  <c r="E26" i="8" s="1"/>
  <c r="I26" i="8" s="1"/>
  <c r="D33" i="1"/>
  <c r="E33" i="1" s="1"/>
  <c r="H33" i="1" s="1"/>
  <c r="B25" i="6" s="1"/>
  <c r="D25" i="8" s="1"/>
  <c r="E25" i="8" s="1"/>
  <c r="I25" i="8" s="1"/>
  <c r="H32" i="1"/>
  <c r="B24" i="6" s="1"/>
  <c r="D24" i="8" s="1"/>
  <c r="E24" i="8" s="1"/>
  <c r="I24" i="8" s="1"/>
  <c r="E32" i="1"/>
  <c r="D32" i="1"/>
  <c r="M29" i="1"/>
  <c r="O29" i="1" s="1"/>
  <c r="D68" i="6" s="1"/>
  <c r="D68" i="8" s="1"/>
  <c r="M28" i="1"/>
  <c r="O28" i="1" s="1"/>
  <c r="D67" i="6" s="1"/>
  <c r="D67" i="8" s="1"/>
  <c r="G67" i="8" s="1"/>
  <c r="K67" i="8" s="1"/>
  <c r="F28" i="1"/>
  <c r="H28" i="1" s="1"/>
  <c r="B22" i="6" s="1"/>
  <c r="D22" i="8" s="1"/>
  <c r="E22" i="8" s="1"/>
  <c r="I22" i="8" s="1"/>
  <c r="E28" i="1"/>
  <c r="M27" i="1"/>
  <c r="O27" i="1" s="1"/>
  <c r="D61" i="6" s="1"/>
  <c r="D61" i="8" s="1"/>
  <c r="E27" i="1"/>
  <c r="F27" i="1" s="1"/>
  <c r="H27" i="1" s="1"/>
  <c r="B21" i="6" s="1"/>
  <c r="D21" i="8" s="1"/>
  <c r="E21" i="8" s="1"/>
  <c r="I21" i="8" s="1"/>
  <c r="M26" i="1"/>
  <c r="O26" i="1" s="1"/>
  <c r="D60" i="6" s="1"/>
  <c r="D60" i="8" s="1"/>
  <c r="E26" i="1"/>
  <c r="F26" i="1" s="1"/>
  <c r="H26" i="1" s="1"/>
  <c r="B20" i="6" s="1"/>
  <c r="D20" i="8" s="1"/>
  <c r="E20" i="8" s="1"/>
  <c r="I20" i="8" s="1"/>
  <c r="M25" i="1"/>
  <c r="O25" i="1" s="1"/>
  <c r="D54" i="6" s="1"/>
  <c r="F54" i="8" s="1"/>
  <c r="E25" i="1"/>
  <c r="F25" i="1" s="1"/>
  <c r="H25" i="1" s="1"/>
  <c r="B19" i="6" s="1"/>
  <c r="D19" i="8" s="1"/>
  <c r="E19" i="8" s="1"/>
  <c r="I19" i="8" s="1"/>
  <c r="O24" i="1"/>
  <c r="D53" i="6" s="1"/>
  <c r="F53" i="8" s="1"/>
  <c r="M24" i="1"/>
  <c r="E24" i="1"/>
  <c r="F24" i="1" s="1"/>
  <c r="H24" i="1" s="1"/>
  <c r="B18" i="6" s="1"/>
  <c r="D18" i="8" s="1"/>
  <c r="E18" i="8" s="1"/>
  <c r="I18" i="8" s="1"/>
  <c r="M23" i="1"/>
  <c r="O23" i="1" s="1"/>
  <c r="D52" i="6" s="1"/>
  <c r="F52" i="8" s="1"/>
  <c r="O22" i="1"/>
  <c r="D51" i="6" s="1"/>
  <c r="F51" i="8" s="1"/>
  <c r="I51" i="8" s="1"/>
  <c r="M51" i="8" s="1"/>
  <c r="M22" i="1"/>
  <c r="K20" i="1"/>
  <c r="M20" i="1" s="1"/>
  <c r="O20" i="1" s="1"/>
  <c r="D66" i="6" s="1"/>
  <c r="D66" i="8" s="1"/>
  <c r="G66" i="8" s="1"/>
  <c r="K66" i="8" s="1"/>
  <c r="K19" i="1"/>
  <c r="M19" i="1" s="1"/>
  <c r="O19" i="1" s="1"/>
  <c r="D65" i="6" s="1"/>
  <c r="D65" i="8" s="1"/>
  <c r="O18" i="1"/>
  <c r="D64" i="6" s="1"/>
  <c r="D64" i="8" s="1"/>
  <c r="M18" i="1"/>
  <c r="K18" i="1"/>
  <c r="K17" i="1"/>
  <c r="M17" i="1" s="1"/>
  <c r="O17" i="1" s="1"/>
  <c r="D59" i="6" s="1"/>
  <c r="D59" i="8" s="1"/>
  <c r="K16" i="1"/>
  <c r="M16" i="1" s="1"/>
  <c r="O16" i="1" s="1"/>
  <c r="D58" i="6" s="1"/>
  <c r="D58" i="8" s="1"/>
  <c r="G58" i="8" s="1"/>
  <c r="K58" i="8" s="1"/>
  <c r="H16" i="1"/>
  <c r="B16" i="6" s="1"/>
  <c r="D16" i="8" s="1"/>
  <c r="E16" i="8" s="1"/>
  <c r="I16" i="8" s="1"/>
  <c r="F16" i="1"/>
  <c r="E16" i="1"/>
  <c r="K15" i="1"/>
  <c r="M15" i="1" s="1"/>
  <c r="O15" i="1" s="1"/>
  <c r="D57" i="6" s="1"/>
  <c r="D57" i="8" s="1"/>
  <c r="F15" i="1"/>
  <c r="H15" i="1" s="1"/>
  <c r="B15" i="6" s="1"/>
  <c r="D15" i="8" s="1"/>
  <c r="E15" i="8" s="1"/>
  <c r="I15" i="8" s="1"/>
  <c r="E15" i="1"/>
  <c r="K14" i="1"/>
  <c r="M14" i="1" s="1"/>
  <c r="O14" i="1" s="1"/>
  <c r="D50" i="6" s="1"/>
  <c r="F50" i="8" s="1"/>
  <c r="I50" i="8" s="1"/>
  <c r="M50" i="8" s="1"/>
  <c r="E14" i="1"/>
  <c r="F14" i="1" s="1"/>
  <c r="H14" i="1" s="1"/>
  <c r="B13" i="6" s="1"/>
  <c r="D13" i="8" s="1"/>
  <c r="E13" i="8" s="1"/>
  <c r="I13" i="8" s="1"/>
  <c r="O13" i="1"/>
  <c r="D49" i="6" s="1"/>
  <c r="F49" i="8" s="1"/>
  <c r="M13" i="1"/>
  <c r="K13" i="1"/>
  <c r="E13" i="1"/>
  <c r="F13" i="1" s="1"/>
  <c r="H13" i="1" s="1"/>
  <c r="B12" i="6" s="1"/>
  <c r="D12" i="8" s="1"/>
  <c r="E12" i="8" s="1"/>
  <c r="I12" i="8" s="1"/>
  <c r="K12" i="1"/>
  <c r="M12" i="1" s="1"/>
  <c r="O12" i="1" s="1"/>
  <c r="D48" i="6" s="1"/>
  <c r="F48" i="8" s="1"/>
  <c r="H12" i="1"/>
  <c r="B11" i="6" s="1"/>
  <c r="D11" i="8" s="1"/>
  <c r="E11" i="8" s="1"/>
  <c r="I11" i="8" s="1"/>
  <c r="F12" i="1"/>
  <c r="E12" i="1"/>
  <c r="E11" i="1"/>
  <c r="F11" i="1" s="1"/>
  <c r="H11" i="1" s="1"/>
  <c r="B10" i="6" s="1"/>
  <c r="D10" i="8" s="1"/>
  <c r="E10" i="8" s="1"/>
  <c r="I10" i="8" s="1"/>
  <c r="F10" i="1"/>
  <c r="H10" i="1" s="1"/>
  <c r="B9" i="6" s="1"/>
  <c r="D9" i="8" s="1"/>
  <c r="E9" i="8" s="1"/>
  <c r="I9" i="8" s="1"/>
  <c r="E10" i="1"/>
  <c r="E9" i="1"/>
  <c r="F9" i="1" s="1"/>
  <c r="H9" i="1" s="1"/>
  <c r="B8" i="6" s="1"/>
  <c r="D8" i="8" s="1"/>
  <c r="E8" i="8" s="1"/>
  <c r="I8" i="8" s="1"/>
  <c r="K8" i="1"/>
  <c r="E8" i="1"/>
  <c r="F8" i="1" s="1"/>
  <c r="H8" i="1" s="1"/>
  <c r="B7" i="6" s="1"/>
  <c r="D7" i="8" s="1"/>
  <c r="E7" i="8" s="1"/>
  <c r="I7" i="8" s="1"/>
  <c r="K7" i="1"/>
  <c r="E7" i="1"/>
  <c r="F7" i="1" s="1"/>
  <c r="H7" i="1" s="1"/>
  <c r="B6" i="6" s="1"/>
  <c r="D6" i="8" s="1"/>
  <c r="E6" i="8" s="1"/>
  <c r="I6" i="8" s="1"/>
  <c r="K6" i="1"/>
  <c r="E6" i="1"/>
  <c r="F6" i="1" s="1"/>
  <c r="H6" i="1" s="1"/>
  <c r="B5" i="6" s="1"/>
  <c r="D5" i="8" s="1"/>
  <c r="E5" i="8" s="1"/>
  <c r="I5" i="8" s="1"/>
  <c r="K5" i="1"/>
  <c r="E5" i="1"/>
  <c r="F5" i="1" s="1"/>
  <c r="H5" i="1" s="1"/>
  <c r="B4" i="6" s="1"/>
  <c r="D4" i="8" s="1"/>
  <c r="E4" i="8" s="1"/>
  <c r="I4" i="8" s="1"/>
  <c r="K4" i="1"/>
  <c r="K3" i="1"/>
  <c r="B68" i="8"/>
  <c r="G68" i="8" s="1"/>
  <c r="K68" i="8" s="1"/>
  <c r="B67" i="8"/>
  <c r="B66" i="8"/>
  <c r="B65" i="8"/>
  <c r="G65" i="8" s="1"/>
  <c r="K65" i="8" s="1"/>
  <c r="C64" i="8"/>
  <c r="B64" i="8"/>
  <c r="G64" i="8" s="1"/>
  <c r="K64" i="8" s="1"/>
  <c r="F63" i="8"/>
  <c r="C61" i="8"/>
  <c r="B61" i="8"/>
  <c r="B60" i="8"/>
  <c r="B59" i="8"/>
  <c r="C58" i="8"/>
  <c r="B58" i="8"/>
  <c r="E57" i="8"/>
  <c r="C57" i="8"/>
  <c r="B57" i="8"/>
  <c r="G57" i="8" s="1"/>
  <c r="K57" i="8" s="1"/>
  <c r="E54" i="8"/>
  <c r="D54" i="8"/>
  <c r="I54" i="8" s="1"/>
  <c r="M54" i="8" s="1"/>
  <c r="D53" i="8"/>
  <c r="I53" i="8" s="1"/>
  <c r="M53" i="8" s="1"/>
  <c r="D52" i="8"/>
  <c r="D51" i="8"/>
  <c r="H50" i="8"/>
  <c r="D50" i="8"/>
  <c r="D49" i="8"/>
  <c r="D48" i="8"/>
  <c r="G44" i="8"/>
  <c r="D44" i="8"/>
  <c r="E43" i="8"/>
  <c r="D43" i="8"/>
  <c r="C41" i="8"/>
  <c r="B41" i="8"/>
  <c r="F41" i="8" s="1"/>
  <c r="J41" i="8" s="1"/>
  <c r="C40" i="8"/>
  <c r="B40" i="8"/>
  <c r="C39" i="8"/>
  <c r="B39" i="8"/>
  <c r="F39" i="8" s="1"/>
  <c r="J39" i="8" s="1"/>
  <c r="C38" i="8"/>
  <c r="B38" i="8"/>
  <c r="F38" i="8" s="1"/>
  <c r="J38" i="8" s="1"/>
  <c r="C37" i="8"/>
  <c r="B37" i="8"/>
  <c r="E33" i="8"/>
  <c r="I52" i="8" l="1"/>
  <c r="M52" i="8" s="1"/>
  <c r="G60" i="8"/>
  <c r="K60" i="8" s="1"/>
  <c r="G61" i="8"/>
  <c r="K61" i="8" s="1"/>
  <c r="I49" i="8"/>
  <c r="M49" i="8" s="1"/>
  <c r="G59" i="8"/>
  <c r="K59" i="8" s="1"/>
  <c r="I48" i="8"/>
  <c r="M48" i="8" s="1"/>
</calcChain>
</file>

<file path=xl/sharedStrings.xml><?xml version="1.0" encoding="utf-8"?>
<sst xmlns="http://schemas.openxmlformats.org/spreadsheetml/2006/main" count="652" uniqueCount="258">
  <si>
    <t>顆數</t>
    <phoneticPr fontId="1" type="noConversion"/>
  </si>
  <si>
    <t>單顆</t>
    <phoneticPr fontId="1" type="noConversion"/>
  </si>
  <si>
    <t>加綜合</t>
    <phoneticPr fontId="1" type="noConversion"/>
  </si>
  <si>
    <t>單一口味</t>
    <phoneticPr fontId="1" type="noConversion"/>
  </si>
  <si>
    <t>豆塔-抹茶</t>
    <phoneticPr fontId="1" type="noConversion"/>
  </si>
  <si>
    <t>豆塔-蔓越莓</t>
    <phoneticPr fontId="1" type="noConversion"/>
  </si>
  <si>
    <t>豆塔-巧克力</t>
    <phoneticPr fontId="1" type="noConversion"/>
  </si>
  <si>
    <t>豆塔-椒麻</t>
    <phoneticPr fontId="1" type="noConversion"/>
  </si>
  <si>
    <t>堅果塔-蜂蜜</t>
    <phoneticPr fontId="1" type="noConversion"/>
  </si>
  <si>
    <t>堅果塔-焦糖</t>
    <phoneticPr fontId="1" type="noConversion"/>
  </si>
  <si>
    <t>堅果塔-海苔</t>
    <phoneticPr fontId="1" type="noConversion"/>
  </si>
  <si>
    <t>豆塔-綜合</t>
    <phoneticPr fontId="1" type="noConversion"/>
  </si>
  <si>
    <t>堅果塔-綜合</t>
    <phoneticPr fontId="1" type="noConversion"/>
  </si>
  <si>
    <t>雙塔</t>
    <phoneticPr fontId="1" type="noConversion"/>
  </si>
  <si>
    <t>南棗核桃糕</t>
    <phoneticPr fontId="1" type="noConversion"/>
  </si>
  <si>
    <t>訂單統計表</t>
    <phoneticPr fontId="1" type="noConversion"/>
  </si>
  <si>
    <t>巧克力貝殼</t>
  </si>
  <si>
    <t>杏仁瓦片</t>
  </si>
  <si>
    <t>乳酪酥條</t>
  </si>
  <si>
    <t>咖啡小花</t>
  </si>
  <si>
    <t>綜花餅乾需叫斤數</t>
  </si>
  <si>
    <t>糖果類</t>
    <phoneticPr fontId="1" type="noConversion"/>
  </si>
  <si>
    <t>堅果、果乾類</t>
    <phoneticPr fontId="1" type="noConversion"/>
  </si>
  <si>
    <t xml:space="preserve"> 餅乾類</t>
    <phoneticPr fontId="1" type="noConversion"/>
  </si>
  <si>
    <t>堅果塔-咖哩</t>
    <phoneticPr fontId="1" type="noConversion"/>
  </si>
  <si>
    <t>大包裝</t>
    <phoneticPr fontId="1" type="noConversion"/>
  </si>
  <si>
    <t>小包裝</t>
    <phoneticPr fontId="1" type="noConversion"/>
  </si>
  <si>
    <t>庫存</t>
    <phoneticPr fontId="1" type="noConversion"/>
  </si>
  <si>
    <t>小庫存</t>
    <phoneticPr fontId="1" type="noConversion"/>
  </si>
  <si>
    <t>大庫存</t>
    <phoneticPr fontId="1" type="noConversion"/>
  </si>
  <si>
    <t>蔓越莓貝殼</t>
    <phoneticPr fontId="1" type="noConversion"/>
  </si>
  <si>
    <t>藍莓小花</t>
    <phoneticPr fontId="1" type="noConversion"/>
  </si>
  <si>
    <t>無調味綜合堅果</t>
    <phoneticPr fontId="1" type="noConversion"/>
  </si>
  <si>
    <t>無調味夏威夷豆</t>
    <phoneticPr fontId="1" type="noConversion"/>
  </si>
  <si>
    <t>無調味腰果</t>
    <phoneticPr fontId="1" type="noConversion"/>
  </si>
  <si>
    <t>無調味杏仁</t>
    <phoneticPr fontId="1" type="noConversion"/>
  </si>
  <si>
    <t>無調味核桃</t>
    <phoneticPr fontId="1" type="noConversion"/>
  </si>
  <si>
    <t>★中東椰棗300g</t>
    <phoneticPr fontId="1" type="noConversion"/>
  </si>
  <si>
    <t>椰棗豆子150g</t>
    <phoneticPr fontId="1" type="noConversion"/>
  </si>
  <si>
    <t>椰棗腰果150g</t>
    <phoneticPr fontId="1" type="noConversion"/>
  </si>
  <si>
    <t>椰棗杏仁150g</t>
    <phoneticPr fontId="1" type="noConversion"/>
  </si>
  <si>
    <t>椰棗核桃150g</t>
    <phoneticPr fontId="1" type="noConversion"/>
  </si>
  <si>
    <t xml:space="preserve"> 禮盒類</t>
  </si>
  <si>
    <t>蔓越莓禮盒</t>
  </si>
  <si>
    <t>綜豆禮盒</t>
  </si>
  <si>
    <t>綜堅禮盒</t>
  </si>
  <si>
    <t>塔類</t>
    <phoneticPr fontId="1" type="noConversion"/>
  </si>
  <si>
    <t>瓦片-原味</t>
    <phoneticPr fontId="1" type="noConversion"/>
  </si>
  <si>
    <t>瓦片-巧克力</t>
    <phoneticPr fontId="1" type="noConversion"/>
  </si>
  <si>
    <t>瓦片-伯爵</t>
    <phoneticPr fontId="1" type="noConversion"/>
  </si>
  <si>
    <t>瓦片-抹茶</t>
    <phoneticPr fontId="1" type="noConversion"/>
  </si>
  <si>
    <t>瓦片-黑糖</t>
    <phoneticPr fontId="1" type="noConversion"/>
  </si>
  <si>
    <t>瓦片-海苔</t>
    <phoneticPr fontId="1" type="noConversion"/>
  </si>
  <si>
    <t>奶油-法國巧克力</t>
    <phoneticPr fontId="1" type="noConversion"/>
  </si>
  <si>
    <t>奶油-伯爵紅茶</t>
    <phoneticPr fontId="1" type="noConversion"/>
  </si>
  <si>
    <t>奶油-焦糖牛奶</t>
    <phoneticPr fontId="1" type="noConversion"/>
  </si>
  <si>
    <t>奶油-抹茶</t>
    <phoneticPr fontId="1" type="noConversion"/>
  </si>
  <si>
    <t>奶油-蜂蜜檸檬</t>
    <phoneticPr fontId="1" type="noConversion"/>
  </si>
  <si>
    <t>西點-巧克力貝殼</t>
    <phoneticPr fontId="1" type="noConversion"/>
  </si>
  <si>
    <t>西點-蔓越莓貝殼</t>
    <phoneticPr fontId="1" type="noConversion"/>
  </si>
  <si>
    <t>西點-藍莓小花</t>
    <phoneticPr fontId="1" type="noConversion"/>
  </si>
  <si>
    <t>西點-咖啡小花</t>
    <phoneticPr fontId="1" type="noConversion"/>
  </si>
  <si>
    <t>西點-乳酪酥條</t>
    <phoneticPr fontId="1" type="noConversion"/>
  </si>
  <si>
    <t>生產統計表</t>
    <phoneticPr fontId="1" type="noConversion"/>
  </si>
  <si>
    <t>總量</t>
    <phoneticPr fontId="1" type="noConversion"/>
  </si>
  <si>
    <t>小總量</t>
    <phoneticPr fontId="1" type="noConversion"/>
  </si>
  <si>
    <t>大總量</t>
    <phoneticPr fontId="1" type="noConversion"/>
  </si>
  <si>
    <t>晴空塔餅禮盒</t>
    <phoneticPr fontId="1" type="noConversion"/>
  </si>
  <si>
    <t>鳳凰酥</t>
    <phoneticPr fontId="1" type="noConversion"/>
  </si>
  <si>
    <t>瓦片-原味45克</t>
    <phoneticPr fontId="1" type="noConversion"/>
  </si>
  <si>
    <t>瓦片-紅茶</t>
    <phoneticPr fontId="1" type="noConversion"/>
  </si>
  <si>
    <t>瓦片-綜合</t>
    <phoneticPr fontId="1" type="noConversion"/>
  </si>
  <si>
    <t>西點-綜合</t>
    <phoneticPr fontId="1" type="noConversion"/>
  </si>
  <si>
    <t>雪花餅-蔓越莓</t>
    <phoneticPr fontId="1" type="noConversion"/>
  </si>
  <si>
    <t>雪花餅-巧克力</t>
    <phoneticPr fontId="1" type="noConversion"/>
  </si>
  <si>
    <t>雪花餅-抹茶</t>
    <phoneticPr fontId="1" type="noConversion"/>
  </si>
  <si>
    <t>雪花餅-金沙</t>
    <phoneticPr fontId="1" type="noConversion"/>
  </si>
  <si>
    <t>雪花餅-肉鬆</t>
    <phoneticPr fontId="1" type="noConversion"/>
  </si>
  <si>
    <t>雪花餅</t>
    <phoneticPr fontId="1" type="noConversion"/>
  </si>
  <si>
    <t>10袋裝</t>
    <phoneticPr fontId="1" type="noConversion"/>
  </si>
  <si>
    <t>15袋裝</t>
    <phoneticPr fontId="1" type="noConversion"/>
  </si>
  <si>
    <t>雪花餅-綜合</t>
    <phoneticPr fontId="1" type="noConversion"/>
  </si>
  <si>
    <t>塔類綜合組合</t>
    <phoneticPr fontId="1" type="noConversion"/>
  </si>
  <si>
    <t>土鳳梨酥(紅點)</t>
    <phoneticPr fontId="1" type="noConversion"/>
  </si>
  <si>
    <t>臻愛時光禮盒</t>
    <phoneticPr fontId="1" type="noConversion"/>
  </si>
  <si>
    <t>暖暖幸福禮盒</t>
    <phoneticPr fontId="1" type="noConversion"/>
  </si>
  <si>
    <t>戀戀雪花禮盒</t>
    <phoneticPr fontId="1" type="noConversion"/>
  </si>
  <si>
    <t>浪漫詩篇禮盒</t>
    <phoneticPr fontId="1" type="noConversion"/>
  </si>
  <si>
    <t>那年花開禮盒</t>
    <phoneticPr fontId="1" type="noConversion"/>
  </si>
  <si>
    <t>午後漫步禮盒</t>
    <phoneticPr fontId="1" type="noConversion"/>
  </si>
  <si>
    <t>總共(勿填)</t>
    <phoneticPr fontId="1" type="noConversion"/>
  </si>
  <si>
    <t>禮盒(勿填)</t>
    <phoneticPr fontId="1" type="noConversion"/>
  </si>
  <si>
    <t>200g/袋裝</t>
    <phoneticPr fontId="1" type="noConversion"/>
  </si>
  <si>
    <t>100g/袋裝</t>
    <phoneticPr fontId="1" type="noConversion"/>
  </si>
  <si>
    <t>庫存100g</t>
    <phoneticPr fontId="1" type="noConversion"/>
  </si>
  <si>
    <t>庫存200g</t>
    <phoneticPr fontId="1" type="noConversion"/>
  </si>
  <si>
    <t>總量200g</t>
    <phoneticPr fontId="1" type="noConversion"/>
  </si>
  <si>
    <t>濃情滿載禮盒</t>
    <phoneticPr fontId="1" type="noConversion"/>
  </si>
  <si>
    <t>常溫蛋糕類</t>
    <phoneticPr fontId="1" type="noConversion"/>
  </si>
  <si>
    <t>瑪德蓮-蜂蜜</t>
    <phoneticPr fontId="1" type="noConversion"/>
  </si>
  <si>
    <t>瑪德蓮-巧克力</t>
    <phoneticPr fontId="1" type="noConversion"/>
  </si>
  <si>
    <t>瑪德蓮-檸檬</t>
    <phoneticPr fontId="1" type="noConversion"/>
  </si>
  <si>
    <t>瑪德蓮-紅茶</t>
    <phoneticPr fontId="1" type="noConversion"/>
  </si>
  <si>
    <t>10入裝</t>
    <phoneticPr fontId="1" type="noConversion"/>
  </si>
  <si>
    <t>花間逸韻禮盒</t>
    <phoneticPr fontId="1" type="noConversion"/>
  </si>
  <si>
    <t>牛奶糖-50g</t>
    <phoneticPr fontId="1" type="noConversion"/>
  </si>
  <si>
    <t>瑪德蓮-綜合</t>
    <phoneticPr fontId="1" type="noConversion"/>
  </si>
  <si>
    <t>總量50/100g</t>
    <phoneticPr fontId="1" type="noConversion"/>
  </si>
  <si>
    <t>豆塔-焦糖</t>
    <phoneticPr fontId="1" type="noConversion"/>
  </si>
  <si>
    <t>堅果塔-巧克力</t>
    <phoneticPr fontId="1" type="noConversion"/>
  </si>
  <si>
    <t>雙塔禮盒</t>
    <phoneticPr fontId="1" type="noConversion"/>
  </si>
  <si>
    <t>12顆</t>
    <phoneticPr fontId="1" type="noConversion"/>
  </si>
  <si>
    <t>10袋裝(鳳8顆)</t>
    <phoneticPr fontId="1" type="noConversion"/>
  </si>
  <si>
    <t>瑪德蓮-抹茶</t>
    <phoneticPr fontId="1" type="noConversion"/>
  </si>
  <si>
    <t>瑪德蓮-柑橘</t>
    <phoneticPr fontId="1" type="noConversion"/>
  </si>
  <si>
    <t>瓦片-青花椒</t>
    <phoneticPr fontId="1" type="noConversion"/>
  </si>
  <si>
    <t>輕-香榭漫遊禮盒</t>
    <phoneticPr fontId="1" type="noConversion"/>
  </si>
  <si>
    <t>輕-晨曦物語禮盒</t>
    <phoneticPr fontId="1" type="noConversion"/>
  </si>
  <si>
    <t>輕-金緻典藏禮盒</t>
    <phoneticPr fontId="1" type="noConversion"/>
  </si>
  <si>
    <t>輕-月光序曲禮盒</t>
    <phoneticPr fontId="1" type="noConversion"/>
  </si>
  <si>
    <t>斤</t>
  </si>
  <si>
    <t>kg</t>
    <phoneticPr fontId="1" type="noConversion"/>
  </si>
  <si>
    <t>kg</t>
    <phoneticPr fontId="5" type="noConversion"/>
  </si>
  <si>
    <t>包</t>
    <phoneticPr fontId="5" type="noConversion"/>
  </si>
  <si>
    <t>巧克力貝殼</t>
    <phoneticPr fontId="5" type="noConversion"/>
  </si>
  <si>
    <t>斤</t>
    <phoneticPr fontId="5" type="noConversion"/>
  </si>
  <si>
    <t>蔓越莓貝殼</t>
    <phoneticPr fontId="5" type="noConversion"/>
  </si>
  <si>
    <t>藍莓小花</t>
    <phoneticPr fontId="5" type="noConversion"/>
  </si>
  <si>
    <t>咖啡小花</t>
    <phoneticPr fontId="5" type="noConversion"/>
  </si>
  <si>
    <t>乳酪酥條</t>
    <phoneticPr fontId="5" type="noConversion"/>
  </si>
  <si>
    <t>綜合瓦片</t>
    <phoneticPr fontId="5" type="noConversion"/>
  </si>
  <si>
    <t>巧克力</t>
    <phoneticPr fontId="5" type="noConversion"/>
  </si>
  <si>
    <t>紅茶</t>
    <phoneticPr fontId="5" type="noConversion"/>
  </si>
  <si>
    <t>原味</t>
    <phoneticPr fontId="5" type="noConversion"/>
  </si>
  <si>
    <t>海苔</t>
    <phoneticPr fontId="5" type="noConversion"/>
  </si>
  <si>
    <t>抹茶</t>
    <phoneticPr fontId="5" type="noConversion"/>
  </si>
  <si>
    <t>黑糖</t>
    <phoneticPr fontId="5" type="noConversion"/>
  </si>
  <si>
    <t>青花椒</t>
    <phoneticPr fontId="5" type="noConversion"/>
  </si>
  <si>
    <t>杏仁瓦片</t>
    <phoneticPr fontId="5" type="noConversion"/>
  </si>
  <si>
    <t>奶油餅乾</t>
    <phoneticPr fontId="5" type="noConversion"/>
  </si>
  <si>
    <t>西餅餅乾</t>
    <phoneticPr fontId="5" type="noConversion"/>
  </si>
  <si>
    <t>糖果</t>
    <phoneticPr fontId="5" type="noConversion"/>
  </si>
  <si>
    <t>法國巧克力</t>
    <phoneticPr fontId="5" type="noConversion"/>
  </si>
  <si>
    <t>伯爵紅茶</t>
    <phoneticPr fontId="5" type="noConversion"/>
  </si>
  <si>
    <t>焦糖牛奶</t>
    <phoneticPr fontId="5" type="noConversion"/>
  </si>
  <si>
    <t>蜂蜜檸檬</t>
    <phoneticPr fontId="5" type="noConversion"/>
  </si>
  <si>
    <t>*原味45g</t>
    <phoneticPr fontId="1" type="noConversion"/>
  </si>
  <si>
    <t>牛奶糖50g</t>
    <phoneticPr fontId="5" type="noConversion"/>
  </si>
  <si>
    <r>
      <t xml:space="preserve">*安全量
</t>
    </r>
    <r>
      <rPr>
        <b/>
        <sz val="10"/>
        <color theme="1"/>
        <rFont val="微軟正黑體"/>
        <family val="2"/>
        <charset val="136"/>
      </rPr>
      <t>(含已包)</t>
    </r>
    <phoneticPr fontId="5" type="noConversion"/>
  </si>
  <si>
    <t>堅果類</t>
    <phoneticPr fontId="5" type="noConversion"/>
  </si>
  <si>
    <t>顆</t>
    <phoneticPr fontId="5" type="noConversion"/>
  </si>
  <si>
    <r>
      <t>包裝</t>
    </r>
    <r>
      <rPr>
        <b/>
        <sz val="10"/>
        <color theme="1"/>
        <rFont val="微軟正黑體"/>
        <family val="2"/>
        <charset val="136"/>
      </rPr>
      <t>135g</t>
    </r>
    <phoneticPr fontId="1" type="noConversion"/>
  </si>
  <si>
    <r>
      <t>包裝</t>
    </r>
    <r>
      <rPr>
        <b/>
        <sz val="10"/>
        <color theme="1"/>
        <rFont val="微軟正黑體"/>
        <family val="2"/>
        <charset val="136"/>
      </rPr>
      <t>90g</t>
    </r>
    <phoneticPr fontId="1" type="noConversion"/>
  </si>
  <si>
    <r>
      <t>包裝</t>
    </r>
    <r>
      <rPr>
        <b/>
        <sz val="10"/>
        <color theme="1"/>
        <rFont val="微軟正黑體"/>
        <family val="2"/>
        <charset val="136"/>
      </rPr>
      <t>100g</t>
    </r>
    <phoneticPr fontId="1" type="noConversion"/>
  </si>
  <si>
    <r>
      <t>包裝</t>
    </r>
    <r>
      <rPr>
        <b/>
        <sz val="10"/>
        <color theme="1"/>
        <rFont val="微軟正黑體"/>
        <family val="2"/>
        <charset val="136"/>
      </rPr>
      <t>200g</t>
    </r>
    <phoneticPr fontId="1" type="noConversion"/>
  </si>
  <si>
    <r>
      <t>*總共</t>
    </r>
    <r>
      <rPr>
        <b/>
        <sz val="10"/>
        <color theme="1"/>
        <rFont val="微軟正黑體"/>
        <family val="2"/>
        <charset val="136"/>
      </rPr>
      <t>(勿動)</t>
    </r>
    <phoneticPr fontId="5" type="noConversion"/>
  </si>
  <si>
    <t>酥餅</t>
    <phoneticPr fontId="1" type="noConversion"/>
  </si>
  <si>
    <r>
      <rPr>
        <b/>
        <sz val="10"/>
        <color theme="1"/>
        <rFont val="微軟正黑體"/>
        <family val="2"/>
        <charset val="136"/>
      </rPr>
      <t>P1</t>
    </r>
    <r>
      <rPr>
        <b/>
        <sz val="12"/>
        <color theme="1"/>
        <rFont val="微軟正黑體"/>
        <family val="2"/>
        <charset val="136"/>
      </rPr>
      <t>土鳳梨酥</t>
    </r>
    <phoneticPr fontId="1" type="noConversion"/>
  </si>
  <si>
    <r>
      <rPr>
        <b/>
        <sz val="10"/>
        <color theme="1"/>
        <rFont val="微軟正黑體"/>
        <family val="2"/>
        <charset val="136"/>
      </rPr>
      <t>P2</t>
    </r>
    <r>
      <rPr>
        <b/>
        <sz val="12"/>
        <color theme="1"/>
        <rFont val="微軟正黑體"/>
        <family val="2"/>
        <charset val="136"/>
      </rPr>
      <t>鳳凰酥</t>
    </r>
    <phoneticPr fontId="5" type="noConversion"/>
  </si>
  <si>
    <t>綜合西點</t>
    <phoneticPr fontId="5" type="noConversion"/>
  </si>
  <si>
    <t>月</t>
    <phoneticPr fontId="1" type="noConversion"/>
  </si>
  <si>
    <t>日</t>
    <phoneticPr fontId="1" type="noConversion"/>
  </si>
  <si>
    <t>星期:</t>
  </si>
  <si>
    <t>訂單統計區間:</t>
    <phoneticPr fontId="1" type="noConversion"/>
  </si>
  <si>
    <r>
      <rPr>
        <b/>
        <sz val="10"/>
        <color theme="1"/>
        <rFont val="微軟正黑體"/>
        <family val="2"/>
        <charset val="136"/>
      </rPr>
      <t>H1</t>
    </r>
    <r>
      <rPr>
        <b/>
        <sz val="12"/>
        <color theme="1"/>
        <rFont val="微軟正黑體"/>
        <family val="2"/>
        <charset val="136"/>
      </rPr>
      <t>蔓越莓</t>
    </r>
    <phoneticPr fontId="1" type="noConversion"/>
  </si>
  <si>
    <r>
      <rPr>
        <b/>
        <sz val="10"/>
        <color theme="1"/>
        <rFont val="微軟正黑體"/>
        <family val="2"/>
        <charset val="136"/>
      </rPr>
      <t>B5</t>
    </r>
    <r>
      <rPr>
        <b/>
        <sz val="12"/>
        <color theme="1"/>
        <rFont val="微軟正黑體"/>
        <family val="2"/>
        <charset val="136"/>
      </rPr>
      <t>咖哩</t>
    </r>
    <phoneticPr fontId="5" type="noConversion"/>
  </si>
  <si>
    <r>
      <rPr>
        <b/>
        <sz val="10"/>
        <color theme="1"/>
        <rFont val="微軟正黑體"/>
        <family val="2"/>
        <charset val="136"/>
      </rPr>
      <t>B4</t>
    </r>
    <r>
      <rPr>
        <b/>
        <sz val="12"/>
        <color theme="1"/>
        <rFont val="微軟正黑體"/>
        <family val="2"/>
        <charset val="136"/>
      </rPr>
      <t>海苔</t>
    </r>
    <phoneticPr fontId="5" type="noConversion"/>
  </si>
  <si>
    <r>
      <rPr>
        <b/>
        <sz val="10"/>
        <color theme="1"/>
        <rFont val="微軟正黑體"/>
        <family val="2"/>
        <charset val="136"/>
      </rPr>
      <t>B3</t>
    </r>
    <r>
      <rPr>
        <b/>
        <sz val="12"/>
        <color theme="1"/>
        <rFont val="微軟正黑體"/>
        <family val="2"/>
        <charset val="136"/>
      </rPr>
      <t>巧克力</t>
    </r>
    <phoneticPr fontId="5" type="noConversion"/>
  </si>
  <si>
    <r>
      <rPr>
        <b/>
        <sz val="10"/>
        <color theme="1"/>
        <rFont val="微軟正黑體"/>
        <family val="2"/>
        <charset val="136"/>
      </rPr>
      <t>B2</t>
    </r>
    <r>
      <rPr>
        <b/>
        <sz val="12"/>
        <color theme="1"/>
        <rFont val="微軟正黑體"/>
        <family val="2"/>
        <charset val="136"/>
      </rPr>
      <t>焦糖</t>
    </r>
    <phoneticPr fontId="5" type="noConversion"/>
  </si>
  <si>
    <r>
      <rPr>
        <b/>
        <sz val="10"/>
        <color theme="1"/>
        <rFont val="微軟正黑體"/>
        <family val="2"/>
        <charset val="136"/>
      </rPr>
      <t>B1</t>
    </r>
    <r>
      <rPr>
        <b/>
        <sz val="12"/>
        <color theme="1"/>
        <rFont val="微軟正黑體"/>
        <family val="2"/>
        <charset val="136"/>
      </rPr>
      <t>蜂蜜</t>
    </r>
    <phoneticPr fontId="5" type="noConversion"/>
  </si>
  <si>
    <r>
      <rPr>
        <b/>
        <sz val="10"/>
        <color theme="1"/>
        <rFont val="微軟正黑體"/>
        <family val="2"/>
        <charset val="136"/>
      </rPr>
      <t>A1</t>
    </r>
    <r>
      <rPr>
        <b/>
        <sz val="12"/>
        <color theme="1"/>
        <rFont val="微軟正黑體"/>
        <family val="2"/>
        <charset val="136"/>
      </rPr>
      <t>蔓越莓</t>
    </r>
    <phoneticPr fontId="5" type="noConversion"/>
  </si>
  <si>
    <r>
      <rPr>
        <b/>
        <sz val="10"/>
        <color theme="1"/>
        <rFont val="微軟正黑體"/>
        <family val="2"/>
        <charset val="136"/>
      </rPr>
      <t>A2</t>
    </r>
    <r>
      <rPr>
        <b/>
        <sz val="12"/>
        <color theme="1"/>
        <rFont val="微軟正黑體"/>
        <family val="2"/>
        <charset val="136"/>
      </rPr>
      <t>焦糖</t>
    </r>
    <phoneticPr fontId="5" type="noConversion"/>
  </si>
  <si>
    <r>
      <rPr>
        <b/>
        <sz val="10"/>
        <color theme="1"/>
        <rFont val="微軟正黑體"/>
        <family val="2"/>
        <charset val="136"/>
      </rPr>
      <t>A3</t>
    </r>
    <r>
      <rPr>
        <b/>
        <sz val="12"/>
        <color theme="1"/>
        <rFont val="微軟正黑體"/>
        <family val="2"/>
        <charset val="136"/>
      </rPr>
      <t>巧克力</t>
    </r>
    <phoneticPr fontId="5" type="noConversion"/>
  </si>
  <si>
    <r>
      <rPr>
        <b/>
        <sz val="10"/>
        <color theme="1"/>
        <rFont val="微軟正黑體"/>
        <family val="2"/>
        <charset val="136"/>
      </rPr>
      <t>A4</t>
    </r>
    <r>
      <rPr>
        <b/>
        <sz val="12"/>
        <color theme="1"/>
        <rFont val="微軟正黑體"/>
        <family val="2"/>
        <charset val="136"/>
      </rPr>
      <t>抹茶</t>
    </r>
    <phoneticPr fontId="5" type="noConversion"/>
  </si>
  <si>
    <r>
      <rPr>
        <b/>
        <sz val="10"/>
        <color theme="1"/>
        <rFont val="微軟正黑體"/>
        <family val="2"/>
        <charset val="136"/>
      </rPr>
      <t>A5</t>
    </r>
    <r>
      <rPr>
        <b/>
        <sz val="12"/>
        <color theme="1"/>
        <rFont val="微軟正黑體"/>
        <family val="2"/>
        <charset val="136"/>
      </rPr>
      <t>椒麻</t>
    </r>
    <phoneticPr fontId="5" type="noConversion"/>
  </si>
  <si>
    <r>
      <rPr>
        <b/>
        <sz val="10"/>
        <color theme="1"/>
        <rFont val="微軟正黑體"/>
        <family val="2"/>
        <charset val="136"/>
      </rPr>
      <t>H2</t>
    </r>
    <r>
      <rPr>
        <b/>
        <sz val="12"/>
        <color theme="1"/>
        <rFont val="微軟正黑體"/>
        <family val="2"/>
        <charset val="136"/>
      </rPr>
      <t>巧克力</t>
    </r>
    <phoneticPr fontId="1" type="noConversion"/>
  </si>
  <si>
    <r>
      <rPr>
        <b/>
        <sz val="10"/>
        <color theme="1"/>
        <rFont val="微軟正黑體"/>
        <family val="2"/>
        <charset val="136"/>
      </rPr>
      <t>H3</t>
    </r>
    <r>
      <rPr>
        <b/>
        <sz val="12"/>
        <color theme="1"/>
        <rFont val="微軟正黑體"/>
        <family val="2"/>
        <charset val="136"/>
      </rPr>
      <t>金沙</t>
    </r>
    <phoneticPr fontId="1" type="noConversion"/>
  </si>
  <si>
    <r>
      <rPr>
        <b/>
        <sz val="10"/>
        <color theme="1"/>
        <rFont val="微軟正黑體"/>
        <family val="2"/>
        <charset val="136"/>
      </rPr>
      <t>H4</t>
    </r>
    <r>
      <rPr>
        <b/>
        <sz val="12"/>
        <color theme="1"/>
        <rFont val="微軟正黑體"/>
        <family val="2"/>
        <charset val="136"/>
      </rPr>
      <t>抹茶</t>
    </r>
    <phoneticPr fontId="1" type="noConversion"/>
  </si>
  <si>
    <r>
      <rPr>
        <b/>
        <sz val="10"/>
        <color theme="1"/>
        <rFont val="微軟正黑體"/>
        <family val="2"/>
        <charset val="136"/>
      </rPr>
      <t>H5</t>
    </r>
    <r>
      <rPr>
        <b/>
        <sz val="12"/>
        <color theme="1"/>
        <rFont val="微軟正黑體"/>
        <family val="2"/>
        <charset val="136"/>
      </rPr>
      <t>肉鬆</t>
    </r>
    <phoneticPr fontId="1" type="noConversion"/>
  </si>
  <si>
    <t>瑪德蓮</t>
    <phoneticPr fontId="1" type="noConversion"/>
  </si>
  <si>
    <r>
      <rPr>
        <b/>
        <sz val="10"/>
        <color theme="1"/>
        <rFont val="微軟正黑體"/>
        <family val="2"/>
        <charset val="136"/>
      </rPr>
      <t>M1</t>
    </r>
    <r>
      <rPr>
        <b/>
        <sz val="12"/>
        <color theme="1"/>
        <rFont val="微軟正黑體"/>
        <family val="2"/>
        <charset val="136"/>
      </rPr>
      <t>蜂蜜</t>
    </r>
    <phoneticPr fontId="1" type="noConversion"/>
  </si>
  <si>
    <r>
      <rPr>
        <b/>
        <sz val="10"/>
        <color theme="1"/>
        <rFont val="微軟正黑體"/>
        <family val="2"/>
        <charset val="136"/>
      </rPr>
      <t>M2</t>
    </r>
    <r>
      <rPr>
        <b/>
        <sz val="12"/>
        <color theme="1"/>
        <rFont val="微軟正黑體"/>
        <family val="2"/>
        <charset val="136"/>
      </rPr>
      <t>巧克力</t>
    </r>
    <phoneticPr fontId="1" type="noConversion"/>
  </si>
  <si>
    <r>
      <rPr>
        <b/>
        <sz val="10"/>
        <color theme="1"/>
        <rFont val="微軟正黑體"/>
        <family val="2"/>
        <charset val="136"/>
      </rPr>
      <t>M3</t>
    </r>
    <r>
      <rPr>
        <b/>
        <sz val="12"/>
        <color theme="1"/>
        <rFont val="微軟正黑體"/>
        <family val="2"/>
        <charset val="136"/>
      </rPr>
      <t>紅茶</t>
    </r>
    <phoneticPr fontId="1" type="noConversion"/>
  </si>
  <si>
    <r>
      <rPr>
        <b/>
        <sz val="10"/>
        <color theme="1"/>
        <rFont val="微軟正黑體"/>
        <family val="2"/>
        <charset val="136"/>
      </rPr>
      <t>M4</t>
    </r>
    <r>
      <rPr>
        <b/>
        <sz val="12"/>
        <color theme="1"/>
        <rFont val="微軟正黑體"/>
        <family val="2"/>
        <charset val="136"/>
      </rPr>
      <t>抹茶</t>
    </r>
    <phoneticPr fontId="1" type="noConversion"/>
  </si>
  <si>
    <r>
      <rPr>
        <b/>
        <sz val="10"/>
        <color theme="1"/>
        <rFont val="微軟正黑體"/>
        <family val="2"/>
        <charset val="136"/>
      </rPr>
      <t>M5</t>
    </r>
    <r>
      <rPr>
        <b/>
        <sz val="12"/>
        <color theme="1"/>
        <rFont val="微軟正黑體"/>
        <family val="2"/>
        <charset val="136"/>
      </rPr>
      <t>柑橘</t>
    </r>
    <phoneticPr fontId="1" type="noConversion"/>
  </si>
  <si>
    <r>
      <rPr>
        <b/>
        <sz val="10"/>
        <color theme="1"/>
        <rFont val="微軟正黑體"/>
        <family val="2"/>
        <charset val="136"/>
      </rPr>
      <t>M6</t>
    </r>
    <r>
      <rPr>
        <b/>
        <sz val="12"/>
        <color theme="1"/>
        <rFont val="微軟正黑體"/>
        <family val="2"/>
        <charset val="136"/>
      </rPr>
      <t>檸檬</t>
    </r>
    <phoneticPr fontId="1" type="noConversion"/>
  </si>
  <si>
    <t>椰棗類</t>
    <phoneticPr fontId="5" type="noConversion"/>
  </si>
  <si>
    <t>綜合堅果</t>
    <phoneticPr fontId="1" type="noConversion"/>
  </si>
  <si>
    <t>夏威夷豆</t>
    <phoneticPr fontId="1" type="noConversion"/>
  </si>
  <si>
    <t>腰果</t>
    <phoneticPr fontId="1" type="noConversion"/>
  </si>
  <si>
    <t>杏仁</t>
    <phoneticPr fontId="1" type="noConversion"/>
  </si>
  <si>
    <t>核桃</t>
    <phoneticPr fontId="1" type="noConversion"/>
  </si>
  <si>
    <r>
      <t>包裝</t>
    </r>
    <r>
      <rPr>
        <b/>
        <sz val="10"/>
        <color theme="1"/>
        <rFont val="微軟正黑體"/>
        <family val="2"/>
        <charset val="136"/>
      </rPr>
      <t>120g</t>
    </r>
    <phoneticPr fontId="1" type="noConversion"/>
  </si>
  <si>
    <r>
      <t>包裝</t>
    </r>
    <r>
      <rPr>
        <b/>
        <sz val="10"/>
        <color theme="1"/>
        <rFont val="微軟正黑體"/>
        <family val="2"/>
        <charset val="136"/>
      </rPr>
      <t>280g</t>
    </r>
    <phoneticPr fontId="1" type="noConversion"/>
  </si>
  <si>
    <t>椰棗豆子</t>
    <phoneticPr fontId="1" type="noConversion"/>
  </si>
  <si>
    <t>椰棗腰果</t>
    <phoneticPr fontId="1" type="noConversion"/>
  </si>
  <si>
    <t>椰棗杏仁</t>
    <phoneticPr fontId="1" type="noConversion"/>
  </si>
  <si>
    <t>椰棗核桃</t>
    <phoneticPr fontId="1" type="noConversion"/>
  </si>
  <si>
    <t>*庫存</t>
    <phoneticPr fontId="5" type="noConversion"/>
  </si>
  <si>
    <t>片</t>
    <phoneticPr fontId="5" type="noConversion"/>
  </si>
  <si>
    <t>牛奶糖</t>
    <phoneticPr fontId="1" type="noConversion"/>
  </si>
  <si>
    <t>中東椰棗</t>
    <phoneticPr fontId="1" type="noConversion"/>
  </si>
  <si>
    <t>S1牛奶糖</t>
    <phoneticPr fontId="5" type="noConversion"/>
  </si>
  <si>
    <t>S2核桃糕</t>
    <phoneticPr fontId="5" type="noConversion"/>
  </si>
  <si>
    <r>
      <t xml:space="preserve">*庫存
</t>
    </r>
    <r>
      <rPr>
        <b/>
        <sz val="10"/>
        <color theme="1"/>
        <rFont val="微軟正黑體"/>
        <family val="2"/>
        <charset val="136"/>
      </rPr>
      <t>90g</t>
    </r>
    <phoneticPr fontId="5" type="noConversion"/>
  </si>
  <si>
    <r>
      <t xml:space="preserve">*庫存
</t>
    </r>
    <r>
      <rPr>
        <b/>
        <sz val="10"/>
        <color theme="1"/>
        <rFont val="微軟正黑體"/>
        <family val="2"/>
        <charset val="136"/>
      </rPr>
      <t>135g</t>
    </r>
    <phoneticPr fontId="5" type="noConversion"/>
  </si>
  <si>
    <r>
      <t xml:space="preserve">*庫存
</t>
    </r>
    <r>
      <rPr>
        <b/>
        <sz val="10"/>
        <color theme="1"/>
        <rFont val="微軟正黑體"/>
        <family val="2"/>
        <charset val="136"/>
      </rPr>
      <t>100g</t>
    </r>
    <phoneticPr fontId="5" type="noConversion"/>
  </si>
  <si>
    <r>
      <t xml:space="preserve">*庫存
</t>
    </r>
    <r>
      <rPr>
        <b/>
        <sz val="10"/>
        <color theme="1"/>
        <rFont val="微軟正黑體"/>
        <family val="2"/>
        <charset val="136"/>
      </rPr>
      <t>200g</t>
    </r>
    <phoneticPr fontId="5" type="noConversion"/>
  </si>
  <si>
    <r>
      <t xml:space="preserve">*庫存
</t>
    </r>
    <r>
      <rPr>
        <b/>
        <sz val="10"/>
        <color theme="1"/>
        <rFont val="微軟正黑體"/>
        <family val="2"/>
        <charset val="136"/>
      </rPr>
      <t>120g</t>
    </r>
    <phoneticPr fontId="5" type="noConversion"/>
  </si>
  <si>
    <r>
      <t xml:space="preserve">*庫存
</t>
    </r>
    <r>
      <rPr>
        <b/>
        <sz val="10"/>
        <color theme="1"/>
        <rFont val="微軟正黑體"/>
        <family val="2"/>
        <charset val="136"/>
      </rPr>
      <t>280g</t>
    </r>
    <phoneticPr fontId="5" type="noConversion"/>
  </si>
  <si>
    <t>包裝
(片)</t>
    <phoneticPr fontId="1" type="noConversion"/>
  </si>
  <si>
    <r>
      <rPr>
        <b/>
        <sz val="12"/>
        <color theme="1"/>
        <rFont val="微軟正黑體"/>
        <family val="2"/>
        <charset val="136"/>
      </rPr>
      <t>包裝</t>
    </r>
    <r>
      <rPr>
        <b/>
        <sz val="10"/>
        <color theme="1"/>
        <rFont val="微軟正黑體"/>
        <family val="2"/>
        <charset val="136"/>
      </rPr>
      <t xml:space="preserve">
(片)</t>
    </r>
    <phoneticPr fontId="1" type="noConversion"/>
  </si>
  <si>
    <t>包裝量</t>
  </si>
  <si>
    <r>
      <t xml:space="preserve">*庫存150g
</t>
    </r>
    <r>
      <rPr>
        <b/>
        <sz val="10"/>
        <color theme="1"/>
        <rFont val="微軟正黑體"/>
        <family val="2"/>
        <charset val="136"/>
      </rPr>
      <t>(中東300g)</t>
    </r>
    <phoneticPr fontId="5" type="noConversion"/>
  </si>
  <si>
    <r>
      <t xml:space="preserve">*包裝150g
</t>
    </r>
    <r>
      <rPr>
        <b/>
        <sz val="10"/>
        <color theme="1"/>
        <rFont val="微軟正黑體"/>
        <family val="2"/>
        <charset val="136"/>
      </rPr>
      <t>(中東300g)</t>
    </r>
    <phoneticPr fontId="5" type="noConversion"/>
  </si>
  <si>
    <r>
      <rPr>
        <b/>
        <sz val="12"/>
        <color theme="1"/>
        <rFont val="微軟正黑體"/>
        <family val="2"/>
        <charset val="136"/>
      </rPr>
      <t>*庫存</t>
    </r>
    <r>
      <rPr>
        <b/>
        <sz val="10"/>
        <color theme="1"/>
        <rFont val="微軟正黑體"/>
        <family val="2"/>
        <charset val="136"/>
      </rPr>
      <t xml:space="preserve">
(片)</t>
    </r>
    <phoneticPr fontId="1" type="noConversion"/>
  </si>
  <si>
    <t>即期量
(優先包)</t>
    <phoneticPr fontId="1" type="noConversion"/>
  </si>
  <si>
    <r>
      <t xml:space="preserve">*可排參考
</t>
    </r>
    <r>
      <rPr>
        <b/>
        <sz val="10"/>
        <color theme="1"/>
        <rFont val="微軟正黑體"/>
        <family val="2"/>
        <charset val="136"/>
      </rPr>
      <t>(勿動)</t>
    </r>
    <phoneticPr fontId="5" type="noConversion"/>
  </si>
  <si>
    <t>製作量
1kg/倍</t>
    <phoneticPr fontId="1" type="noConversion"/>
  </si>
  <si>
    <r>
      <t>*總共</t>
    </r>
    <r>
      <rPr>
        <b/>
        <sz val="10"/>
        <color theme="1"/>
        <rFont val="微軟正黑體"/>
        <family val="2"/>
        <charset val="136"/>
      </rPr>
      <t>(預估)</t>
    </r>
    <phoneticPr fontId="5" type="noConversion"/>
  </si>
  <si>
    <r>
      <t xml:space="preserve">製作量
</t>
    </r>
    <r>
      <rPr>
        <b/>
        <sz val="6"/>
        <color theme="1"/>
        <rFont val="微軟正黑體"/>
        <family val="2"/>
        <charset val="136"/>
      </rPr>
      <t>核桃糕5.2kg/倍
牛奶糖2.5kg/倍</t>
    </r>
    <phoneticPr fontId="1" type="noConversion"/>
  </si>
  <si>
    <t>倍</t>
    <phoneticPr fontId="1" type="noConversion"/>
  </si>
  <si>
    <t>*進貨量
200g/包</t>
    <phoneticPr fontId="5" type="noConversion"/>
  </si>
  <si>
    <t>*進貨量
300g/包</t>
    <phoneticPr fontId="5" type="noConversion"/>
  </si>
  <si>
    <t>年</t>
    <phoneticPr fontId="1" type="noConversion"/>
  </si>
  <si>
    <t>如有客製化需求用:</t>
    <phoneticPr fontId="1" type="noConversion"/>
  </si>
  <si>
    <t>當天製作</t>
    <phoneticPr fontId="5" type="noConversion"/>
  </si>
  <si>
    <t>*可排參考
(勿動)</t>
    <phoneticPr fontId="5" type="noConversion"/>
  </si>
  <si>
    <t>*安全量
(含已包)</t>
    <phoneticPr fontId="5" type="noConversion"/>
  </si>
  <si>
    <t>件</t>
    <phoneticPr fontId="5" type="noConversion"/>
  </si>
  <si>
    <t>倍</t>
    <phoneticPr fontId="5" type="noConversion"/>
  </si>
  <si>
    <t>*總共 (勿動)</t>
    <phoneticPr fontId="5" type="noConversion"/>
  </si>
  <si>
    <t>包</t>
  </si>
  <si>
    <r>
      <t>真空袋</t>
    </r>
    <r>
      <rPr>
        <b/>
        <sz val="10"/>
        <color theme="1"/>
        <rFont val="微軟正黑體"/>
        <family val="2"/>
        <charset val="136"/>
      </rPr>
      <t>(盤點)1kg</t>
    </r>
  </si>
  <si>
    <t>真空袋1kg-庫存
(貼上前一天
的真空袋預估)</t>
  </si>
  <si>
    <t>真空袋1kg(預估)
(複製到隔天
的真空袋庫存)</t>
  </si>
  <si>
    <t>200g/包-庫存
(貼上前一天
的預估)</t>
  </si>
  <si>
    <t>200g/包(預估)
(複製到隔天
的庫存)</t>
  </si>
  <si>
    <t>真空袋1kg
(貼上前一天
的盤點)</t>
  </si>
  <si>
    <t>需求(可填)</t>
    <phoneticPr fontId="1" type="noConversion"/>
  </si>
  <si>
    <t>禮盒餅乾單片包裝</t>
    <phoneticPr fontId="1" type="noConversion"/>
  </si>
  <si>
    <t>總量勿動</t>
    <phoneticPr fontId="1" type="noConversion"/>
  </si>
  <si>
    <t>300g/包-庫存
(貼上前一天
的預估)</t>
    <phoneticPr fontId="1" type="noConversion"/>
  </si>
  <si>
    <t>300g/包(預估)
(複製到隔天
的庫存)</t>
    <phoneticPr fontId="1" type="noConversion"/>
  </si>
  <si>
    <t>千層-小酥條</t>
    <phoneticPr fontId="1" type="noConversion"/>
  </si>
  <si>
    <t>千層餅乾</t>
    <phoneticPr fontId="5" type="noConversion"/>
  </si>
  <si>
    <t>千層-小酥條</t>
    <phoneticPr fontId="5" type="noConversion"/>
  </si>
  <si>
    <r>
      <t xml:space="preserve">*庫存
</t>
    </r>
    <r>
      <rPr>
        <b/>
        <sz val="10"/>
        <color theme="1"/>
        <rFont val="微軟正黑體"/>
        <family val="2"/>
        <charset val="136"/>
      </rPr>
      <t>60g</t>
    </r>
    <phoneticPr fontId="5" type="noConversion"/>
  </si>
  <si>
    <r>
      <t>包裝</t>
    </r>
    <r>
      <rPr>
        <b/>
        <sz val="10"/>
        <color theme="1"/>
        <rFont val="微軟正黑體"/>
        <family val="2"/>
        <charset val="136"/>
      </rPr>
      <t>60g</t>
    </r>
    <phoneticPr fontId="1" type="noConversion"/>
  </si>
  <si>
    <t>製作量
1片/倍</t>
    <phoneticPr fontId="1" type="noConversion"/>
  </si>
  <si>
    <t>製作量
3.7包/片</t>
    <phoneticPr fontId="1" type="noConversion"/>
  </si>
  <si>
    <t>真空袋1kg(預估)
(複製到隔天
的真空袋庫存)</t>
    <phoneticPr fontId="1" type="noConversion"/>
  </si>
  <si>
    <t>真空袋1kg-庫存
(貼上前一天
的真空袋預估)</t>
    <phoneticPr fontId="1" type="noConversion"/>
  </si>
  <si>
    <t>200g/包(預估)
(複製到隔天
的庫存)</t>
    <phoneticPr fontId="1" type="noConversion"/>
  </si>
  <si>
    <t>200g/包-庫存
(貼上前一天
的預估)</t>
    <phoneticPr fontId="1" type="noConversion"/>
  </si>
  <si>
    <t>真空袋1kg
(貼上前一天
的盤點)</t>
    <phoneticPr fontId="1" type="noConversion"/>
  </si>
  <si>
    <r>
      <t xml:space="preserve">真空袋1kg
</t>
    </r>
    <r>
      <rPr>
        <b/>
        <sz val="10"/>
        <color theme="1"/>
        <rFont val="微軟正黑體"/>
        <family val="2"/>
        <charset val="136"/>
      </rPr>
      <t>(每日盤點)</t>
    </r>
    <phoneticPr fontId="1" type="noConversion"/>
  </si>
  <si>
    <t>三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</si>
</sst>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76" formatCode="m&quot;月&quot;d&quot;日&quot;"/>
    <numFmt numFmtId="177" formatCode="0_ "/>
    <numFmt numFmtId="178" formatCode="0.0"/>
    <numFmt numFmtId="179" formatCode="0_ ;[Red]\-0\ "/>
    <numFmt numFmtId="180" formatCode="0.0_ "/>
    <numFmt numFmtId="181" formatCode="0.0_ ;[Red]\-0.0\ "/>
  </numFmts>
  <fonts count="13" x14ac:knownFonts="1">
    <font>
      <sz val="12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b/>
      <sz val="12"/>
      <color theme="1"/>
      <name val="微軟正黑體"/>
      <family val="2"/>
      <charset val="136"/>
    </font>
    <font>
      <b/>
      <sz val="16"/>
      <color theme="1"/>
      <name val="微軟正黑體"/>
      <family val="2"/>
      <charset val="136"/>
    </font>
    <font>
      <b/>
      <sz val="14"/>
      <color theme="1"/>
      <name val="微軟正黑體"/>
      <family val="2"/>
      <charset val="136"/>
    </font>
    <font>
      <sz val="9"/>
      <name val="新細明體"/>
      <family val="2"/>
      <charset val="136"/>
      <scheme val="minor"/>
    </font>
    <font>
      <b/>
      <sz val="10"/>
      <color theme="1"/>
      <name val="微軟正黑體"/>
      <family val="2"/>
      <charset val="136"/>
    </font>
    <font>
      <b/>
      <sz val="12"/>
      <color rgb="FFFF0000"/>
      <name val="微軟正黑體"/>
      <family val="2"/>
      <charset val="136"/>
    </font>
    <font>
      <b/>
      <sz val="12"/>
      <color rgb="FF000000"/>
      <name val="微軟正黑體"/>
      <family val="2"/>
      <charset val="136"/>
    </font>
    <font>
      <b/>
      <sz val="6"/>
      <color theme="1"/>
      <name val="微軟正黑體"/>
      <family val="2"/>
      <charset val="136"/>
    </font>
    <font>
      <b/>
      <sz val="12"/>
      <color theme="5" tint="0.79998168889431442"/>
      <name val="微軟正黑體"/>
      <family val="2"/>
      <charset val="136"/>
    </font>
    <font>
      <b/>
      <sz val="12"/>
      <name val="微軟正黑體"/>
      <family val="2"/>
      <charset val="136"/>
    </font>
    <font>
      <b/>
      <sz val="12"/>
      <color theme="1"/>
      <name val="微軟正黑體"/>
      <family val="2"/>
      <charset val="136"/>
    </font>
  </fonts>
  <fills count="21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79998168889431442"/>
        <bgColor indexed="64"/>
      </patternFill>
    </fill>
  </fills>
  <borders count="3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2" tint="-9.9978637043366805E-2"/>
      </left>
      <right style="thin">
        <color theme="2" tint="-9.9978637043366805E-2"/>
      </right>
      <top style="thin">
        <color theme="2" tint="-9.9978637043366805E-2"/>
      </top>
      <bottom style="thin">
        <color theme="2" tint="-9.9978637043366805E-2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 diagonalUp="1"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 style="thin">
        <color indexed="64"/>
      </diagonal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 diagonalUp="1">
      <left style="thin">
        <color indexed="64"/>
      </left>
      <right style="thin">
        <color indexed="64"/>
      </right>
      <top/>
      <bottom style="thin">
        <color indexed="64"/>
      </bottom>
      <diagonal style="thin">
        <color indexed="64"/>
      </diagonal>
    </border>
    <border diagonalUp="1">
      <left style="thin">
        <color indexed="64"/>
      </left>
      <right style="thin">
        <color indexed="64"/>
      </right>
      <top style="thin">
        <color indexed="64"/>
      </top>
      <bottom/>
      <diagonal style="thin">
        <color indexed="64"/>
      </diagonal>
    </border>
    <border diagonalUp="1"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 style="thin">
        <color indexed="64"/>
      </diagonal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14999847407452621"/>
      </left>
      <right style="thin">
        <color theme="0" tint="-0.14999847407452621"/>
      </right>
      <top/>
      <bottom style="thin">
        <color theme="0" tint="-0.14999847407452621"/>
      </bottom>
      <diagonal/>
    </border>
    <border diagonalUp="1">
      <left style="thin">
        <color indexed="64"/>
      </left>
      <right style="thin">
        <color indexed="64"/>
      </right>
      <top/>
      <bottom/>
      <diagonal style="thin">
        <color indexed="64"/>
      </diagonal>
    </border>
    <border>
      <left style="thin">
        <color theme="2" tint="-0.89999084444715716"/>
      </left>
      <right style="thin">
        <color theme="2" tint="-0.89999084444715716"/>
      </right>
      <top style="thin">
        <color theme="2" tint="-0.89999084444715716"/>
      </top>
      <bottom style="thin">
        <color theme="2" tint="-0.89999084444715716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 diagonalUp="1">
      <left style="thin">
        <color theme="2" tint="-0.89999084444715716"/>
      </left>
      <right/>
      <top style="thin">
        <color theme="2" tint="-0.89999084444715716"/>
      </top>
      <bottom style="thin">
        <color theme="2" tint="-0.89999084444715716"/>
      </bottom>
      <diagonal style="thin">
        <color indexed="64"/>
      </diagonal>
    </border>
    <border diagonalUp="1"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 style="thin">
        <color indexed="64"/>
      </diagonal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 diagonalUp="1">
      <left style="thin">
        <color indexed="64"/>
      </left>
      <right/>
      <top style="thin">
        <color indexed="64"/>
      </top>
      <bottom style="thin">
        <color indexed="64"/>
      </bottom>
      <diagonal style="thin">
        <color indexed="64"/>
      </diagonal>
    </border>
    <border diagonalUp="1">
      <left/>
      <right style="thin">
        <color indexed="64"/>
      </right>
      <top style="thin">
        <color indexed="64"/>
      </top>
      <bottom style="thin">
        <color indexed="64"/>
      </bottom>
      <diagonal style="thin">
        <color indexed="64"/>
      </diagonal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 diagonalUp="1">
      <left/>
      <right/>
      <top style="thin">
        <color indexed="64"/>
      </top>
      <bottom style="thin">
        <color indexed="64"/>
      </bottom>
      <diagonal style="thin">
        <color indexed="64"/>
      </diagonal>
    </border>
  </borders>
  <cellStyleXfs count="1">
    <xf numFmtId="0" fontId="0" fillId="0" borderId="0"/>
  </cellStyleXfs>
  <cellXfs count="263">
    <xf numFmtId="0" fontId="0" fillId="0" borderId="0" xfId="0"/>
    <xf numFmtId="0" fontId="0" fillId="0" borderId="0" xfId="0" applyProtection="1">
      <protection locked="0"/>
    </xf>
    <xf numFmtId="179" fontId="0" fillId="0" borderId="0" xfId="0" applyNumberFormat="1" applyProtection="1">
      <protection locked="0"/>
    </xf>
    <xf numFmtId="1" fontId="0" fillId="0" borderId="0" xfId="0" applyNumberFormat="1" applyProtection="1">
      <protection locked="0"/>
    </xf>
    <xf numFmtId="0" fontId="0" fillId="0" borderId="0" xfId="0" applyAlignment="1" applyProtection="1">
      <alignment horizontal="center" vertical="center"/>
      <protection locked="0"/>
    </xf>
    <xf numFmtId="0" fontId="4" fillId="3" borderId="1" xfId="0" applyFont="1" applyFill="1" applyBorder="1" applyAlignment="1" applyProtection="1">
      <alignment horizontal="right" vertic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right" vertical="center"/>
      <protection locked="0"/>
    </xf>
    <xf numFmtId="0" fontId="0" fillId="0" borderId="0" xfId="0" applyAlignment="1" applyProtection="1">
      <alignment vertical="center"/>
      <protection locked="0"/>
    </xf>
    <xf numFmtId="0" fontId="3" fillId="2" borderId="8" xfId="0" applyFont="1" applyFill="1" applyBorder="1" applyAlignment="1" applyProtection="1">
      <alignment vertical="center"/>
      <protection locked="0"/>
    </xf>
    <xf numFmtId="0" fontId="3" fillId="2" borderId="9" xfId="0" applyFont="1" applyFill="1" applyBorder="1" applyAlignment="1" applyProtection="1">
      <alignment vertical="center"/>
      <protection locked="0"/>
    </xf>
    <xf numFmtId="177" fontId="3" fillId="2" borderId="10" xfId="0" applyNumberFormat="1" applyFont="1" applyFill="1" applyBorder="1" applyAlignment="1" applyProtection="1">
      <alignment horizontal="center" vertical="center"/>
      <protection locked="0"/>
    </xf>
    <xf numFmtId="0" fontId="4" fillId="0" borderId="2" xfId="0" applyFont="1" applyBorder="1" applyAlignment="1" applyProtection="1">
      <alignment horizontal="right" vertical="center"/>
      <protection locked="0"/>
    </xf>
    <xf numFmtId="0" fontId="4" fillId="0" borderId="2" xfId="0" applyFont="1" applyBorder="1" applyAlignment="1" applyProtection="1">
      <alignment horizontal="center" vertical="center"/>
      <protection locked="0"/>
    </xf>
    <xf numFmtId="0" fontId="4" fillId="0" borderId="0" xfId="0" applyFont="1" applyAlignment="1" applyProtection="1">
      <alignment horizontal="center" vertical="center"/>
      <protection locked="0"/>
    </xf>
    <xf numFmtId="0" fontId="4" fillId="0" borderId="0" xfId="0" applyFont="1" applyAlignment="1" applyProtection="1">
      <alignment vertical="center"/>
      <protection locked="0"/>
    </xf>
    <xf numFmtId="176" fontId="3" fillId="3" borderId="8" xfId="0" applyNumberFormat="1" applyFont="1" applyFill="1" applyBorder="1" applyAlignment="1" applyProtection="1">
      <alignment horizontal="center" vertical="center"/>
      <protection locked="0"/>
    </xf>
    <xf numFmtId="176" fontId="3" fillId="10" borderId="9" xfId="0" applyNumberFormat="1" applyFont="1" applyFill="1" applyBorder="1" applyAlignment="1" applyProtection="1">
      <alignment horizontal="center" vertical="center"/>
      <protection locked="0"/>
    </xf>
    <xf numFmtId="0" fontId="3" fillId="8" borderId="9" xfId="0" applyFont="1" applyFill="1" applyBorder="1" applyAlignment="1" applyProtection="1">
      <alignment horizontal="center" vertical="center"/>
      <protection locked="0"/>
    </xf>
    <xf numFmtId="0" fontId="3" fillId="12" borderId="9" xfId="0" applyFont="1" applyFill="1" applyBorder="1" applyAlignment="1" applyProtection="1">
      <alignment horizontal="center" vertical="center"/>
      <protection locked="0"/>
    </xf>
    <xf numFmtId="0" fontId="3" fillId="4" borderId="9" xfId="0" applyFont="1" applyFill="1" applyBorder="1" applyAlignment="1" applyProtection="1">
      <alignment horizontal="center" vertical="center"/>
      <protection locked="0"/>
    </xf>
    <xf numFmtId="0" fontId="3" fillId="9" borderId="9" xfId="0" applyFont="1" applyFill="1" applyBorder="1" applyAlignment="1" applyProtection="1">
      <alignment horizontal="center" vertical="center"/>
      <protection locked="0"/>
    </xf>
    <xf numFmtId="0" fontId="3" fillId="7" borderId="10" xfId="0" applyFont="1" applyFill="1" applyBorder="1" applyAlignment="1" applyProtection="1">
      <alignment horizontal="center" vertical="center"/>
      <protection locked="0"/>
    </xf>
    <xf numFmtId="178" fontId="4" fillId="0" borderId="2" xfId="0" applyNumberFormat="1" applyFont="1" applyBorder="1" applyAlignment="1" applyProtection="1">
      <alignment horizontal="center" vertical="center"/>
      <protection locked="0"/>
    </xf>
    <xf numFmtId="178" fontId="4" fillId="0" borderId="0" xfId="0" applyNumberFormat="1" applyFont="1" applyAlignment="1" applyProtection="1">
      <alignment horizontal="center" vertical="center"/>
      <protection locked="0"/>
    </xf>
    <xf numFmtId="0" fontId="4" fillId="0" borderId="0" xfId="0" applyFont="1" applyAlignment="1" applyProtection="1">
      <alignment horizontal="right" vertical="center"/>
      <protection locked="0"/>
    </xf>
    <xf numFmtId="0" fontId="3" fillId="0" borderId="5" xfId="0" applyFont="1" applyBorder="1" applyAlignment="1" applyProtection="1">
      <alignment horizontal="right" vertical="center"/>
      <protection locked="0"/>
    </xf>
    <xf numFmtId="177" fontId="3" fillId="10" borderId="5" xfId="0" applyNumberFormat="1" applyFont="1" applyFill="1" applyBorder="1" applyAlignment="1" applyProtection="1">
      <alignment horizontal="center" vertical="center"/>
      <protection locked="0"/>
    </xf>
    <xf numFmtId="177" fontId="3" fillId="12" borderId="5" xfId="0" applyNumberFormat="1" applyFont="1" applyFill="1" applyBorder="1" applyAlignment="1" applyProtection="1">
      <alignment horizontal="center" vertical="center"/>
      <protection locked="0"/>
    </xf>
    <xf numFmtId="179" fontId="3" fillId="9" borderId="5" xfId="0" applyNumberFormat="1" applyFont="1" applyFill="1" applyBorder="1" applyAlignment="1" applyProtection="1">
      <alignment horizontal="center" vertical="center"/>
      <protection locked="0"/>
    </xf>
    <xf numFmtId="177" fontId="0" fillId="0" borderId="0" xfId="0" applyNumberFormat="1" applyProtection="1">
      <protection locked="0"/>
    </xf>
    <xf numFmtId="0" fontId="3" fillId="0" borderId="1" xfId="0" applyFont="1" applyBorder="1" applyAlignment="1" applyProtection="1">
      <alignment horizontal="right" vertical="center"/>
      <protection locked="0"/>
    </xf>
    <xf numFmtId="177" fontId="3" fillId="10" borderId="1" xfId="0" applyNumberFormat="1" applyFont="1" applyFill="1" applyBorder="1" applyAlignment="1" applyProtection="1">
      <alignment horizontal="center" vertical="center"/>
      <protection locked="0"/>
    </xf>
    <xf numFmtId="177" fontId="3" fillId="12" borderId="1" xfId="0" applyNumberFormat="1" applyFont="1" applyFill="1" applyBorder="1" applyAlignment="1" applyProtection="1">
      <alignment horizontal="center" vertical="center"/>
      <protection locked="0"/>
    </xf>
    <xf numFmtId="179" fontId="3" fillId="9" borderId="1" xfId="0" applyNumberFormat="1" applyFont="1" applyFill="1" applyBorder="1" applyAlignment="1" applyProtection="1">
      <alignment horizontal="center" vertical="center"/>
      <protection locked="0"/>
    </xf>
    <xf numFmtId="0" fontId="3" fillId="0" borderId="7" xfId="0" applyFont="1" applyBorder="1" applyAlignment="1" applyProtection="1">
      <alignment horizontal="right" vertical="center"/>
      <protection locked="0"/>
    </xf>
    <xf numFmtId="177" fontId="3" fillId="10" borderId="7" xfId="0" applyNumberFormat="1" applyFont="1" applyFill="1" applyBorder="1" applyAlignment="1" applyProtection="1">
      <alignment horizontal="center" vertical="center"/>
      <protection locked="0"/>
    </xf>
    <xf numFmtId="177" fontId="3" fillId="12" borderId="7" xfId="0" applyNumberFormat="1" applyFont="1" applyFill="1" applyBorder="1" applyAlignment="1" applyProtection="1">
      <alignment horizontal="center" vertical="center"/>
      <protection locked="0"/>
    </xf>
    <xf numFmtId="179" fontId="3" fillId="9" borderId="7" xfId="0" applyNumberFormat="1" applyFont="1" applyFill="1" applyBorder="1" applyAlignment="1" applyProtection="1">
      <alignment horizontal="center" vertical="center"/>
      <protection locked="0"/>
    </xf>
    <xf numFmtId="0" fontId="3" fillId="10" borderId="5" xfId="0" applyFont="1" applyFill="1" applyBorder="1" applyAlignment="1" applyProtection="1">
      <alignment horizontal="center" vertical="center"/>
      <protection locked="0"/>
    </xf>
    <xf numFmtId="0" fontId="3" fillId="8" borderId="5" xfId="0" applyFont="1" applyFill="1" applyBorder="1" applyAlignment="1" applyProtection="1">
      <alignment horizontal="center" vertical="center"/>
      <protection locked="0"/>
    </xf>
    <xf numFmtId="179" fontId="3" fillId="13" borderId="5" xfId="0" applyNumberFormat="1" applyFont="1" applyFill="1" applyBorder="1" applyAlignment="1" applyProtection="1">
      <alignment horizontal="center" vertical="center"/>
      <protection locked="0"/>
    </xf>
    <xf numFmtId="0" fontId="3" fillId="10" borderId="1" xfId="0" applyFont="1" applyFill="1" applyBorder="1" applyAlignment="1" applyProtection="1">
      <alignment horizontal="center" vertical="center"/>
      <protection locked="0"/>
    </xf>
    <xf numFmtId="0" fontId="3" fillId="8" borderId="1" xfId="0" applyFont="1" applyFill="1" applyBorder="1" applyAlignment="1" applyProtection="1">
      <alignment horizontal="center" vertical="center"/>
      <protection locked="0"/>
    </xf>
    <xf numFmtId="179" fontId="3" fillId="13" borderId="1" xfId="0" applyNumberFormat="1" applyFont="1" applyFill="1" applyBorder="1" applyAlignment="1" applyProtection="1">
      <alignment horizontal="center" vertical="center"/>
      <protection locked="0"/>
    </xf>
    <xf numFmtId="0" fontId="4" fillId="0" borderId="1" xfId="0" applyFont="1" applyBorder="1" applyAlignment="1" applyProtection="1">
      <alignment horizontal="right" vertical="center"/>
      <protection locked="0"/>
    </xf>
    <xf numFmtId="0" fontId="4" fillId="2" borderId="1" xfId="0" applyFont="1" applyFill="1" applyBorder="1" applyAlignment="1" applyProtection="1">
      <alignment horizontal="center" vertical="center"/>
      <protection locked="0"/>
    </xf>
    <xf numFmtId="0" fontId="4" fillId="6" borderId="1" xfId="0" applyFont="1" applyFill="1" applyBorder="1" applyAlignment="1" applyProtection="1">
      <alignment horizontal="center" vertical="center"/>
      <protection locked="0"/>
    </xf>
    <xf numFmtId="0" fontId="4" fillId="5" borderId="1" xfId="0" applyFont="1" applyFill="1" applyBorder="1" applyAlignment="1" applyProtection="1">
      <alignment horizontal="center" vertical="center"/>
      <protection locked="0"/>
    </xf>
    <xf numFmtId="0" fontId="4" fillId="4" borderId="1" xfId="0" applyFont="1" applyFill="1" applyBorder="1" applyAlignment="1" applyProtection="1">
      <alignment horizontal="center" vertical="center"/>
      <protection locked="0"/>
    </xf>
    <xf numFmtId="0" fontId="3" fillId="10" borderId="7" xfId="0" applyFont="1" applyFill="1" applyBorder="1" applyAlignment="1" applyProtection="1">
      <alignment horizontal="center" vertical="center"/>
      <protection locked="0"/>
    </xf>
    <xf numFmtId="179" fontId="3" fillId="13" borderId="7" xfId="0" applyNumberFormat="1" applyFont="1" applyFill="1" applyBorder="1" applyAlignment="1" applyProtection="1">
      <alignment horizontal="center" vertical="center"/>
      <protection locked="0"/>
    </xf>
    <xf numFmtId="0" fontId="4" fillId="17" borderId="1" xfId="0" applyFont="1" applyFill="1" applyBorder="1" applyAlignment="1" applyProtection="1">
      <alignment horizontal="center" vertical="center"/>
      <protection locked="0"/>
    </xf>
    <xf numFmtId="0" fontId="3" fillId="0" borderId="4" xfId="0" applyFont="1" applyBorder="1" applyAlignment="1" applyProtection="1">
      <alignment horizontal="right" vertical="center"/>
      <protection locked="0"/>
    </xf>
    <xf numFmtId="0" fontId="4" fillId="0" borderId="4" xfId="0" applyFont="1" applyBorder="1" applyAlignment="1" applyProtection="1">
      <alignment horizontal="right" vertical="center"/>
      <protection locked="0"/>
    </xf>
    <xf numFmtId="0" fontId="3" fillId="3" borderId="5" xfId="0" applyFont="1" applyFill="1" applyBorder="1" applyAlignment="1" applyProtection="1">
      <alignment horizontal="right" vertical="center"/>
      <protection locked="0"/>
    </xf>
    <xf numFmtId="0" fontId="3" fillId="11" borderId="11" xfId="0" applyFont="1" applyFill="1" applyBorder="1" applyAlignment="1" applyProtection="1">
      <alignment horizontal="center" vertical="center"/>
      <protection locked="0"/>
    </xf>
    <xf numFmtId="0" fontId="3" fillId="11" borderId="11" xfId="0" applyFont="1" applyFill="1" applyBorder="1" applyAlignment="1" applyProtection="1">
      <alignment horizontal="center"/>
      <protection locked="0"/>
    </xf>
    <xf numFmtId="0" fontId="4" fillId="17" borderId="3" xfId="0" applyFont="1" applyFill="1" applyBorder="1" applyAlignment="1" applyProtection="1">
      <alignment horizontal="center" vertical="center"/>
      <protection locked="0"/>
    </xf>
    <xf numFmtId="0" fontId="3" fillId="3" borderId="1" xfId="0" applyFont="1" applyFill="1" applyBorder="1" applyAlignment="1" applyProtection="1">
      <alignment horizontal="right" vertical="center"/>
      <protection locked="0"/>
    </xf>
    <xf numFmtId="0" fontId="3" fillId="11" borderId="6" xfId="0" applyFont="1" applyFill="1" applyBorder="1" applyAlignment="1" applyProtection="1">
      <alignment horizontal="center" vertical="center"/>
      <protection locked="0"/>
    </xf>
    <xf numFmtId="0" fontId="3" fillId="11" borderId="6" xfId="0" applyFont="1" applyFill="1" applyBorder="1" applyAlignment="1" applyProtection="1">
      <alignment horizontal="center"/>
      <protection locked="0"/>
    </xf>
    <xf numFmtId="0" fontId="3" fillId="3" borderId="4" xfId="0" applyFont="1" applyFill="1" applyBorder="1" applyAlignment="1" applyProtection="1">
      <alignment horizontal="right" vertical="center"/>
      <protection locked="0"/>
    </xf>
    <xf numFmtId="0" fontId="3" fillId="11" borderId="12" xfId="0" applyFont="1" applyFill="1" applyBorder="1" applyAlignment="1" applyProtection="1">
      <alignment horizontal="center" vertical="center"/>
      <protection locked="0"/>
    </xf>
    <xf numFmtId="0" fontId="4" fillId="3" borderId="16" xfId="0" applyFont="1" applyFill="1" applyBorder="1" applyAlignment="1" applyProtection="1">
      <alignment horizontal="center" vertical="center"/>
      <protection locked="0"/>
    </xf>
    <xf numFmtId="0" fontId="4" fillId="3" borderId="15" xfId="0" applyFont="1" applyFill="1" applyBorder="1" applyAlignment="1" applyProtection="1">
      <alignment horizontal="right" vertical="center"/>
      <protection locked="0"/>
    </xf>
    <xf numFmtId="0" fontId="4" fillId="3" borderId="15" xfId="0" applyFont="1" applyFill="1" applyBorder="1" applyAlignment="1" applyProtection="1">
      <alignment horizontal="center" vertical="center"/>
      <protection locked="0"/>
    </xf>
    <xf numFmtId="177" fontId="3" fillId="12" borderId="4" xfId="0" applyNumberFormat="1" applyFont="1" applyFill="1" applyBorder="1" applyAlignment="1" applyProtection="1">
      <alignment horizontal="center" vertical="center"/>
      <protection locked="0"/>
    </xf>
    <xf numFmtId="0" fontId="3" fillId="10" borderId="14" xfId="0" applyFont="1" applyFill="1" applyBorder="1" applyAlignment="1" applyProtection="1">
      <alignment horizontal="center" vertical="center"/>
      <protection locked="0"/>
    </xf>
    <xf numFmtId="0" fontId="3" fillId="8" borderId="14" xfId="0" applyFont="1" applyFill="1" applyBorder="1" applyAlignment="1" applyProtection="1">
      <alignment horizontal="center" vertical="center"/>
      <protection locked="0"/>
    </xf>
    <xf numFmtId="0" fontId="3" fillId="3" borderId="18" xfId="0" applyFont="1" applyFill="1" applyBorder="1" applyAlignment="1" applyProtection="1">
      <alignment horizontal="center" vertical="center"/>
      <protection locked="0"/>
    </xf>
    <xf numFmtId="0" fontId="3" fillId="10" borderId="18" xfId="0" applyFont="1" applyFill="1" applyBorder="1" applyAlignment="1" applyProtection="1">
      <alignment horizontal="center" vertical="center"/>
      <protection locked="0"/>
    </xf>
    <xf numFmtId="0" fontId="3" fillId="8" borderId="18" xfId="0" applyFont="1" applyFill="1" applyBorder="1" applyAlignment="1" applyProtection="1">
      <alignment horizontal="center" vertical="center"/>
      <protection locked="0"/>
    </xf>
    <xf numFmtId="0" fontId="3" fillId="11" borderId="22" xfId="0" applyFont="1" applyFill="1" applyBorder="1" applyAlignment="1" applyProtection="1">
      <alignment horizontal="center" vertical="center"/>
      <protection locked="0"/>
    </xf>
    <xf numFmtId="0" fontId="2" fillId="5" borderId="18" xfId="0" applyFont="1" applyFill="1" applyBorder="1" applyAlignment="1" applyProtection="1">
      <alignment horizontal="center" vertical="center"/>
      <protection locked="0"/>
    </xf>
    <xf numFmtId="0" fontId="2" fillId="9" borderId="18" xfId="0" applyFont="1" applyFill="1" applyBorder="1" applyAlignment="1" applyProtection="1">
      <alignment horizontal="center" vertical="center"/>
      <protection locked="0"/>
    </xf>
    <xf numFmtId="0" fontId="2" fillId="7" borderId="18" xfId="0" applyFont="1" applyFill="1" applyBorder="1" applyAlignment="1" applyProtection="1">
      <alignment horizontal="center" vertical="center"/>
      <protection locked="0"/>
    </xf>
    <xf numFmtId="0" fontId="3" fillId="5" borderId="5" xfId="0" applyFont="1" applyFill="1" applyBorder="1" applyAlignment="1" applyProtection="1">
      <alignment horizontal="center" vertical="center"/>
      <protection locked="0"/>
    </xf>
    <xf numFmtId="0" fontId="3" fillId="9" borderId="5" xfId="0" applyFont="1" applyFill="1" applyBorder="1" applyAlignment="1" applyProtection="1">
      <alignment horizontal="center" vertical="center"/>
      <protection locked="0"/>
    </xf>
    <xf numFmtId="0" fontId="3" fillId="11" borderId="17" xfId="0" applyFont="1" applyFill="1" applyBorder="1" applyAlignment="1" applyProtection="1">
      <alignment horizontal="center" vertical="center"/>
      <protection locked="0"/>
    </xf>
    <xf numFmtId="0" fontId="3" fillId="9" borderId="14" xfId="0" applyFont="1" applyFill="1" applyBorder="1" applyAlignment="1" applyProtection="1">
      <alignment horizontal="center" vertical="center"/>
      <protection locked="0"/>
    </xf>
    <xf numFmtId="0" fontId="3" fillId="11" borderId="13" xfId="0" applyFont="1" applyFill="1" applyBorder="1" applyAlignment="1" applyProtection="1">
      <alignment horizontal="center" vertical="center"/>
      <protection locked="0"/>
    </xf>
    <xf numFmtId="0" fontId="3" fillId="9" borderId="1" xfId="0" applyFont="1" applyFill="1" applyBorder="1" applyAlignment="1" applyProtection="1">
      <alignment horizontal="center" vertical="center"/>
      <protection locked="0"/>
    </xf>
    <xf numFmtId="0" fontId="3" fillId="0" borderId="5" xfId="0" applyFont="1" applyBorder="1" applyAlignment="1" applyProtection="1">
      <alignment horizontal="center" vertical="center"/>
      <protection locked="0"/>
    </xf>
    <xf numFmtId="0" fontId="3" fillId="7" borderId="5" xfId="0" applyFont="1" applyFill="1" applyBorder="1" applyAlignment="1" applyProtection="1">
      <alignment horizontal="center" vertical="center"/>
      <protection locked="0"/>
    </xf>
    <xf numFmtId="0" fontId="3" fillId="11" borderId="5" xfId="0" applyFont="1" applyFill="1" applyBorder="1" applyAlignment="1" applyProtection="1">
      <alignment horizontal="center" vertical="center"/>
      <protection locked="0"/>
    </xf>
    <xf numFmtId="0" fontId="3" fillId="5" borderId="1" xfId="0" applyFont="1" applyFill="1" applyBorder="1" applyAlignment="1" applyProtection="1">
      <alignment horizontal="center" vertical="center"/>
      <protection locked="0"/>
    </xf>
    <xf numFmtId="0" fontId="3" fillId="10" borderId="4" xfId="0" applyFont="1" applyFill="1" applyBorder="1" applyAlignment="1" applyProtection="1">
      <alignment horizontal="center" vertical="center"/>
      <protection locked="0"/>
    </xf>
    <xf numFmtId="0" fontId="3" fillId="5" borderId="4" xfId="0" applyFont="1" applyFill="1" applyBorder="1" applyAlignment="1" applyProtection="1">
      <alignment horizontal="center" vertical="center"/>
      <protection locked="0"/>
    </xf>
    <xf numFmtId="0" fontId="3" fillId="6" borderId="5" xfId="0" applyFont="1" applyFill="1" applyBorder="1" applyAlignment="1" applyProtection="1">
      <alignment horizontal="right" vertical="center"/>
      <protection locked="0"/>
    </xf>
    <xf numFmtId="0" fontId="3" fillId="16" borderId="5" xfId="0" applyFont="1" applyFill="1" applyBorder="1" applyAlignment="1" applyProtection="1">
      <alignment horizontal="center" vertical="center"/>
      <protection locked="0"/>
    </xf>
    <xf numFmtId="0" fontId="3" fillId="6" borderId="1" xfId="0" applyFont="1" applyFill="1" applyBorder="1" applyAlignment="1" applyProtection="1">
      <alignment horizontal="right" vertical="center"/>
      <protection locked="0"/>
    </xf>
    <xf numFmtId="0" fontId="3" fillId="16" borderId="1" xfId="0" applyFont="1" applyFill="1" applyBorder="1" applyAlignment="1" applyProtection="1">
      <alignment horizontal="center" vertical="center"/>
      <protection locked="0"/>
    </xf>
    <xf numFmtId="0" fontId="3" fillId="5" borderId="7" xfId="0" applyFont="1" applyFill="1" applyBorder="1" applyAlignment="1" applyProtection="1">
      <alignment horizontal="center" vertical="center"/>
      <protection locked="0"/>
    </xf>
    <xf numFmtId="178" fontId="0" fillId="0" borderId="0" xfId="0" applyNumberFormat="1" applyAlignment="1" applyProtection="1">
      <alignment horizontal="right" vertical="center"/>
      <protection locked="0"/>
    </xf>
    <xf numFmtId="179" fontId="3" fillId="11" borderId="11" xfId="0" applyNumberFormat="1" applyFont="1" applyFill="1" applyBorder="1" applyAlignment="1" applyProtection="1">
      <alignment horizontal="center" vertical="center"/>
      <protection locked="0"/>
    </xf>
    <xf numFmtId="179" fontId="3" fillId="11" borderId="6" xfId="0" applyNumberFormat="1" applyFont="1" applyFill="1" applyBorder="1" applyAlignment="1" applyProtection="1">
      <alignment horizontal="center" vertical="center"/>
      <protection locked="0"/>
    </xf>
    <xf numFmtId="177" fontId="3" fillId="4" borderId="5" xfId="0" applyNumberFormat="1" applyFont="1" applyFill="1" applyBorder="1" applyAlignment="1">
      <alignment horizontal="center" vertical="center"/>
    </xf>
    <xf numFmtId="177" fontId="3" fillId="4" borderId="1" xfId="0" applyNumberFormat="1" applyFont="1" applyFill="1" applyBorder="1" applyAlignment="1">
      <alignment horizontal="center" vertical="center"/>
    </xf>
    <xf numFmtId="177" fontId="3" fillId="4" borderId="7" xfId="0" applyNumberFormat="1" applyFont="1" applyFill="1" applyBorder="1" applyAlignment="1">
      <alignment horizontal="center" vertical="center"/>
    </xf>
    <xf numFmtId="177" fontId="3" fillId="4" borderId="4" xfId="0" applyNumberFormat="1" applyFont="1" applyFill="1" applyBorder="1" applyAlignment="1">
      <alignment horizontal="center" vertical="center"/>
    </xf>
    <xf numFmtId="179" fontId="3" fillId="7" borderId="5" xfId="0" applyNumberFormat="1" applyFont="1" applyFill="1" applyBorder="1" applyAlignment="1">
      <alignment horizontal="center"/>
    </xf>
    <xf numFmtId="179" fontId="3" fillId="7" borderId="1" xfId="0" applyNumberFormat="1" applyFont="1" applyFill="1" applyBorder="1" applyAlignment="1">
      <alignment horizontal="center"/>
    </xf>
    <xf numFmtId="179" fontId="3" fillId="7" borderId="7" xfId="0" applyNumberFormat="1" applyFont="1" applyFill="1" applyBorder="1" applyAlignment="1">
      <alignment horizontal="center"/>
    </xf>
    <xf numFmtId="0" fontId="3" fillId="11" borderId="12" xfId="0" applyFont="1" applyFill="1" applyBorder="1" applyAlignment="1">
      <alignment horizontal="center" vertical="center"/>
    </xf>
    <xf numFmtId="179" fontId="3" fillId="7" borderId="4" xfId="0" applyNumberFormat="1" applyFont="1" applyFill="1" applyBorder="1" applyAlignment="1">
      <alignment horizontal="center"/>
    </xf>
    <xf numFmtId="179" fontId="3" fillId="7" borderId="5" xfId="0" applyNumberFormat="1" applyFont="1" applyFill="1" applyBorder="1" applyAlignment="1">
      <alignment horizontal="center" vertical="center"/>
    </xf>
    <xf numFmtId="179" fontId="3" fillId="7" borderId="1" xfId="0" applyNumberFormat="1" applyFont="1" applyFill="1" applyBorder="1" applyAlignment="1">
      <alignment horizontal="center" vertical="center"/>
    </xf>
    <xf numFmtId="0" fontId="3" fillId="11" borderId="11" xfId="0" applyFont="1" applyFill="1" applyBorder="1" applyAlignment="1">
      <alignment horizontal="center" vertical="center"/>
    </xf>
    <xf numFmtId="0" fontId="3" fillId="11" borderId="6" xfId="0" applyFont="1" applyFill="1" applyBorder="1" applyAlignment="1">
      <alignment horizontal="center" vertical="center"/>
    </xf>
    <xf numFmtId="179" fontId="3" fillId="7" borderId="4" xfId="0" applyNumberFormat="1" applyFont="1" applyFill="1" applyBorder="1" applyAlignment="1">
      <alignment horizontal="center" vertical="center"/>
    </xf>
    <xf numFmtId="0" fontId="3" fillId="11" borderId="13" xfId="0" applyFont="1" applyFill="1" applyBorder="1" applyAlignment="1">
      <alignment horizontal="center" vertical="center"/>
    </xf>
    <xf numFmtId="0" fontId="4" fillId="14" borderId="1" xfId="0" applyFont="1" applyFill="1" applyBorder="1" applyAlignment="1">
      <alignment horizontal="center" vertical="center"/>
    </xf>
    <xf numFmtId="0" fontId="4" fillId="14" borderId="3" xfId="0" applyFont="1" applyFill="1" applyBorder="1" applyAlignment="1">
      <alignment horizontal="center" vertical="center"/>
    </xf>
    <xf numFmtId="0" fontId="4" fillId="18" borderId="1" xfId="0" applyFont="1" applyFill="1" applyBorder="1" applyAlignment="1">
      <alignment horizontal="center" vertical="center"/>
    </xf>
    <xf numFmtId="179" fontId="4" fillId="4" borderId="1" xfId="0" applyNumberFormat="1" applyFont="1" applyFill="1" applyBorder="1" applyAlignment="1">
      <alignment horizontal="center" vertical="center"/>
    </xf>
    <xf numFmtId="178" fontId="4" fillId="0" borderId="2" xfId="0" applyNumberFormat="1" applyFont="1" applyBorder="1" applyAlignment="1">
      <alignment horizontal="center" vertical="center"/>
    </xf>
    <xf numFmtId="0" fontId="3" fillId="0" borderId="14" xfId="0" applyFont="1" applyBorder="1" applyAlignment="1" applyProtection="1">
      <alignment horizontal="right" vertical="center"/>
      <protection locked="0"/>
    </xf>
    <xf numFmtId="179" fontId="3" fillId="11" borderId="6" xfId="0" applyNumberFormat="1" applyFont="1" applyFill="1" applyBorder="1" applyAlignment="1">
      <alignment horizontal="center" vertical="center"/>
    </xf>
    <xf numFmtId="0" fontId="3" fillId="9" borderId="4" xfId="0" applyFont="1" applyFill="1" applyBorder="1" applyAlignment="1" applyProtection="1">
      <alignment horizontal="center" vertical="center"/>
      <protection locked="0"/>
    </xf>
    <xf numFmtId="179" fontId="3" fillId="11" borderId="11" xfId="0" applyNumberFormat="1" applyFont="1" applyFill="1" applyBorder="1" applyAlignment="1">
      <alignment horizontal="center" vertical="center"/>
    </xf>
    <xf numFmtId="177" fontId="3" fillId="11" borderId="17" xfId="0" applyNumberFormat="1" applyFont="1" applyFill="1" applyBorder="1" applyAlignment="1" applyProtection="1">
      <alignment horizontal="center" vertical="center"/>
      <protection locked="0"/>
    </xf>
    <xf numFmtId="0" fontId="3" fillId="10" borderId="9" xfId="0" applyFont="1" applyFill="1" applyBorder="1" applyAlignment="1" applyProtection="1">
      <alignment horizontal="center" vertical="center"/>
      <protection locked="0"/>
    </xf>
    <xf numFmtId="0" fontId="3" fillId="7" borderId="9" xfId="0" applyFont="1" applyFill="1" applyBorder="1" applyAlignment="1" applyProtection="1">
      <alignment horizontal="center" vertical="center"/>
      <protection locked="0"/>
    </xf>
    <xf numFmtId="0" fontId="3" fillId="4" borderId="5" xfId="0" applyFont="1" applyFill="1" applyBorder="1" applyAlignment="1">
      <alignment horizontal="center" vertical="center"/>
    </xf>
    <xf numFmtId="177" fontId="3" fillId="11" borderId="23" xfId="0" applyNumberFormat="1" applyFont="1" applyFill="1" applyBorder="1" applyAlignment="1" applyProtection="1">
      <alignment horizontal="center" vertical="center"/>
      <protection locked="0"/>
    </xf>
    <xf numFmtId="177" fontId="3" fillId="11" borderId="6" xfId="0" applyNumberFormat="1" applyFont="1" applyFill="1" applyBorder="1" applyAlignment="1" applyProtection="1">
      <alignment horizontal="center" vertical="center"/>
      <protection locked="0"/>
    </xf>
    <xf numFmtId="177" fontId="3" fillId="11" borderId="13" xfId="0" applyNumberFormat="1" applyFont="1" applyFill="1" applyBorder="1" applyAlignment="1" applyProtection="1">
      <alignment horizontal="center" vertical="center"/>
      <protection locked="0"/>
    </xf>
    <xf numFmtId="0" fontId="3" fillId="11" borderId="23" xfId="0" applyFont="1" applyFill="1" applyBorder="1" applyAlignment="1" applyProtection="1">
      <alignment horizontal="center" vertical="center"/>
      <protection locked="0"/>
    </xf>
    <xf numFmtId="177" fontId="3" fillId="4" borderId="14" xfId="0" applyNumberFormat="1" applyFont="1" applyFill="1" applyBorder="1" applyAlignment="1">
      <alignment horizontal="center" vertical="center"/>
    </xf>
    <xf numFmtId="0" fontId="2" fillId="0" borderId="1" xfId="0" applyFont="1" applyBorder="1" applyAlignment="1">
      <alignment horizontal="right" vertical="center"/>
    </xf>
    <xf numFmtId="0" fontId="2" fillId="3" borderId="1" xfId="0" applyFont="1" applyFill="1" applyBorder="1" applyAlignment="1">
      <alignment horizontal="right" vertical="center"/>
    </xf>
    <xf numFmtId="0" fontId="2" fillId="4" borderId="1" xfId="0" applyFont="1" applyFill="1" applyBorder="1" applyAlignment="1">
      <alignment horizontal="right" vertical="center"/>
    </xf>
    <xf numFmtId="0" fontId="2" fillId="2" borderId="1" xfId="0" applyFont="1" applyFill="1" applyBorder="1" applyAlignment="1">
      <alignment horizontal="center" vertical="center" wrapText="1"/>
    </xf>
    <xf numFmtId="179" fontId="2" fillId="5" borderId="1" xfId="0" applyNumberFormat="1" applyFont="1" applyFill="1" applyBorder="1" applyAlignment="1">
      <alignment horizontal="right" vertical="center"/>
    </xf>
    <xf numFmtId="181" fontId="2" fillId="7" borderId="1" xfId="0" applyNumberFormat="1" applyFont="1" applyFill="1" applyBorder="1" applyAlignment="1">
      <alignment horizontal="right" vertical="center"/>
    </xf>
    <xf numFmtId="0" fontId="2" fillId="7" borderId="1" xfId="0" applyFont="1" applyFill="1" applyBorder="1" applyAlignment="1">
      <alignment horizontal="center" vertical="center"/>
    </xf>
    <xf numFmtId="0" fontId="2" fillId="19" borderId="1" xfId="0" applyFont="1" applyFill="1" applyBorder="1" applyAlignment="1">
      <alignment horizontal="right" vertical="center"/>
    </xf>
    <xf numFmtId="0" fontId="2" fillId="19" borderId="1" xfId="0" applyFont="1" applyFill="1" applyBorder="1" applyAlignment="1">
      <alignment horizontal="center" vertical="center"/>
    </xf>
    <xf numFmtId="179" fontId="7" fillId="19" borderId="1" xfId="0" applyNumberFormat="1" applyFont="1" applyFill="1" applyBorder="1" applyAlignment="1">
      <alignment horizontal="right" vertical="center"/>
    </xf>
    <xf numFmtId="0" fontId="2" fillId="19" borderId="1" xfId="0" applyFont="1" applyFill="1" applyBorder="1" applyAlignment="1">
      <alignment horizontal="left" vertical="center"/>
    </xf>
    <xf numFmtId="0" fontId="2" fillId="7" borderId="1" xfId="0" applyFont="1" applyFill="1" applyBorder="1" applyAlignment="1">
      <alignment horizontal="left" vertical="center"/>
    </xf>
    <xf numFmtId="0" fontId="8" fillId="19" borderId="1" xfId="0" applyFont="1" applyFill="1" applyBorder="1" applyAlignment="1">
      <alignment horizontal="right" vertical="center"/>
    </xf>
    <xf numFmtId="180" fontId="0" fillId="0" borderId="0" xfId="0" applyNumberFormat="1" applyAlignment="1" applyProtection="1">
      <alignment horizontal="right" vertical="center"/>
      <protection locked="0"/>
    </xf>
    <xf numFmtId="179" fontId="0" fillId="0" borderId="0" xfId="0" applyNumberFormat="1" applyAlignment="1" applyProtection="1">
      <alignment horizontal="right"/>
      <protection locked="0"/>
    </xf>
    <xf numFmtId="181" fontId="0" fillId="0" borderId="0" xfId="0" applyNumberFormat="1" applyAlignment="1" applyProtection="1">
      <alignment horizontal="right"/>
      <protection locked="0"/>
    </xf>
    <xf numFmtId="0" fontId="0" fillId="0" borderId="0" xfId="0" applyAlignment="1" applyProtection="1">
      <alignment horizontal="right"/>
      <protection locked="0"/>
    </xf>
    <xf numFmtId="179" fontId="2" fillId="7" borderId="1" xfId="0" applyNumberFormat="1" applyFont="1" applyFill="1" applyBorder="1" applyAlignment="1">
      <alignment horizontal="right" vertical="center"/>
    </xf>
    <xf numFmtId="0" fontId="6" fillId="19" borderId="1" xfId="0" applyFont="1" applyFill="1" applyBorder="1" applyAlignment="1">
      <alignment horizontal="right" vertical="center"/>
    </xf>
    <xf numFmtId="0" fontId="2" fillId="3" borderId="1" xfId="0" applyFont="1" applyFill="1" applyBorder="1" applyAlignment="1" applyProtection="1">
      <alignment horizontal="right" vertical="center"/>
      <protection locked="0"/>
    </xf>
    <xf numFmtId="0" fontId="2" fillId="0" borderId="1" xfId="0" applyFont="1" applyBorder="1" applyAlignment="1" applyProtection="1">
      <alignment horizontal="right" vertical="center"/>
      <protection locked="0"/>
    </xf>
    <xf numFmtId="179" fontId="2" fillId="3" borderId="1" xfId="0" applyNumberFormat="1" applyFont="1" applyFill="1" applyBorder="1" applyAlignment="1">
      <alignment horizontal="center" vertical="center"/>
    </xf>
    <xf numFmtId="0" fontId="2" fillId="4" borderId="6" xfId="0" applyFont="1" applyFill="1" applyBorder="1" applyAlignment="1">
      <alignment horizontal="center" vertical="center"/>
    </xf>
    <xf numFmtId="0" fontId="6" fillId="3" borderId="1" xfId="0" applyFont="1" applyFill="1" applyBorder="1" applyAlignment="1">
      <alignment horizontal="center" vertical="center" wrapText="1"/>
    </xf>
    <xf numFmtId="179" fontId="2" fillId="5" borderId="6" xfId="0" applyNumberFormat="1" applyFont="1" applyFill="1" applyBorder="1" applyAlignment="1">
      <alignment horizontal="center" vertical="center"/>
    </xf>
    <xf numFmtId="0" fontId="2" fillId="3" borderId="6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 wrapText="1"/>
    </xf>
    <xf numFmtId="0" fontId="2" fillId="5" borderId="1" xfId="0" applyFont="1" applyFill="1" applyBorder="1" applyAlignment="1">
      <alignment horizontal="center" vertical="center" wrapText="1"/>
    </xf>
    <xf numFmtId="0" fontId="2" fillId="17" borderId="1" xfId="0" applyFont="1" applyFill="1" applyBorder="1" applyAlignment="1">
      <alignment horizontal="center" vertical="center" wrapText="1"/>
    </xf>
    <xf numFmtId="0" fontId="2" fillId="17" borderId="6" xfId="0" applyFont="1" applyFill="1" applyBorder="1" applyAlignment="1">
      <alignment horizontal="center" vertical="center"/>
    </xf>
    <xf numFmtId="0" fontId="4" fillId="0" borderId="25" xfId="0" applyFont="1" applyBorder="1" applyAlignment="1" applyProtection="1">
      <alignment horizontal="center" vertical="center"/>
      <protection locked="0"/>
    </xf>
    <xf numFmtId="0" fontId="4" fillId="0" borderId="3" xfId="0" applyFont="1" applyBorder="1" applyAlignment="1" applyProtection="1">
      <alignment horizontal="center" vertical="center"/>
      <protection locked="0"/>
    </xf>
    <xf numFmtId="0" fontId="4" fillId="0" borderId="24" xfId="0" applyFont="1" applyBorder="1" applyAlignment="1" applyProtection="1">
      <alignment vertical="center"/>
      <protection locked="0"/>
    </xf>
    <xf numFmtId="0" fontId="4" fillId="0" borderId="3" xfId="0" applyFont="1" applyBorder="1" applyAlignment="1" applyProtection="1">
      <alignment vertical="center"/>
      <protection locked="0"/>
    </xf>
    <xf numFmtId="0" fontId="4" fillId="0" borderId="25" xfId="0" applyFont="1" applyBorder="1" applyAlignment="1" applyProtection="1">
      <alignment vertical="center"/>
      <protection locked="0"/>
    </xf>
    <xf numFmtId="0" fontId="2" fillId="3" borderId="1" xfId="0" applyFont="1" applyFill="1" applyBorder="1" applyAlignment="1">
      <alignment horizontal="center" vertical="center"/>
    </xf>
    <xf numFmtId="0" fontId="2" fillId="4" borderId="6" xfId="0" applyFont="1" applyFill="1" applyBorder="1" applyAlignment="1">
      <alignment horizontal="right" vertical="center"/>
    </xf>
    <xf numFmtId="0" fontId="2" fillId="17" borderId="6" xfId="0" applyFont="1" applyFill="1" applyBorder="1" applyAlignment="1">
      <alignment horizontal="right" vertical="center"/>
    </xf>
    <xf numFmtId="181" fontId="2" fillId="17" borderId="1" xfId="0" applyNumberFormat="1" applyFont="1" applyFill="1" applyBorder="1" applyAlignment="1">
      <alignment horizontal="right" vertical="center"/>
    </xf>
    <xf numFmtId="0" fontId="6" fillId="17" borderId="1" xfId="0" applyFont="1" applyFill="1" applyBorder="1" applyAlignment="1">
      <alignment horizontal="center" vertical="center" wrapText="1"/>
    </xf>
    <xf numFmtId="0" fontId="6" fillId="4" borderId="1" xfId="0" applyFont="1" applyFill="1" applyBorder="1" applyAlignment="1">
      <alignment horizontal="center" vertical="center" wrapText="1"/>
    </xf>
    <xf numFmtId="179" fontId="0" fillId="3" borderId="1" xfId="0" applyNumberFormat="1" applyFill="1" applyBorder="1" applyAlignment="1" applyProtection="1">
      <alignment horizontal="right"/>
      <protection locked="0"/>
    </xf>
    <xf numFmtId="0" fontId="2" fillId="3" borderId="1" xfId="0" applyFont="1" applyFill="1" applyBorder="1" applyAlignment="1">
      <alignment horizontal="left" vertical="center"/>
    </xf>
    <xf numFmtId="0" fontId="0" fillId="3" borderId="1" xfId="0" applyFill="1" applyBorder="1" applyProtection="1">
      <protection locked="0"/>
    </xf>
    <xf numFmtId="0" fontId="6" fillId="20" borderId="1" xfId="0" applyFont="1" applyFill="1" applyBorder="1" applyAlignment="1">
      <alignment horizontal="center" vertical="center" wrapText="1"/>
    </xf>
    <xf numFmtId="0" fontId="2" fillId="20" borderId="27" xfId="0" applyFont="1" applyFill="1" applyBorder="1" applyAlignment="1">
      <alignment vertical="center"/>
    </xf>
    <xf numFmtId="179" fontId="2" fillId="20" borderId="1" xfId="0" applyNumberFormat="1" applyFont="1" applyFill="1" applyBorder="1" applyAlignment="1">
      <alignment horizontal="center" vertical="center"/>
    </xf>
    <xf numFmtId="181" fontId="2" fillId="17" borderId="1" xfId="0" applyNumberFormat="1" applyFont="1" applyFill="1" applyBorder="1" applyAlignment="1" applyProtection="1">
      <alignment horizontal="right" vertical="center"/>
      <protection locked="0"/>
    </xf>
    <xf numFmtId="0" fontId="10" fillId="19" borderId="6" xfId="0" applyFont="1" applyFill="1" applyBorder="1" applyAlignment="1">
      <alignment horizontal="center" vertical="center"/>
    </xf>
    <xf numFmtId="0" fontId="11" fillId="19" borderId="6" xfId="0" applyFont="1" applyFill="1" applyBorder="1" applyAlignment="1">
      <alignment horizontal="center" vertical="center"/>
    </xf>
    <xf numFmtId="0" fontId="2" fillId="5" borderId="5" xfId="0" applyFont="1" applyFill="1" applyBorder="1" applyAlignment="1">
      <alignment horizontal="center" vertical="center" wrapText="1"/>
    </xf>
    <xf numFmtId="181" fontId="2" fillId="3" borderId="1" xfId="0" applyNumberFormat="1" applyFont="1" applyFill="1" applyBorder="1" applyAlignment="1" applyProtection="1">
      <alignment horizontal="center" vertical="center"/>
      <protection locked="0"/>
    </xf>
    <xf numFmtId="179" fontId="2" fillId="17" borderId="1" xfId="0" applyNumberFormat="1" applyFont="1" applyFill="1" applyBorder="1" applyAlignment="1" applyProtection="1">
      <alignment horizontal="right" vertical="center"/>
      <protection locked="0"/>
    </xf>
    <xf numFmtId="179" fontId="2" fillId="17" borderId="1" xfId="0" applyNumberFormat="1" applyFont="1" applyFill="1" applyBorder="1" applyAlignment="1">
      <alignment horizontal="right" vertical="center"/>
    </xf>
    <xf numFmtId="0" fontId="2" fillId="15" borderId="6" xfId="0" applyFont="1" applyFill="1" applyBorder="1" applyAlignment="1">
      <alignment horizontal="center" vertical="center"/>
    </xf>
    <xf numFmtId="179" fontId="2" fillId="15" borderId="6" xfId="0" applyNumberFormat="1" applyFont="1" applyFill="1" applyBorder="1" applyAlignment="1">
      <alignment horizontal="left" vertical="center"/>
    </xf>
    <xf numFmtId="180" fontId="0" fillId="15" borderId="6" xfId="0" applyNumberFormat="1" applyFill="1" applyBorder="1" applyAlignment="1" applyProtection="1">
      <alignment horizontal="right" vertical="center"/>
      <protection locked="0"/>
    </xf>
    <xf numFmtId="0" fontId="0" fillId="15" borderId="6" xfId="0" applyFill="1" applyBorder="1" applyAlignment="1" applyProtection="1">
      <alignment horizontal="center"/>
      <protection locked="0"/>
    </xf>
    <xf numFmtId="0" fontId="3" fillId="7" borderId="5" xfId="0" applyFont="1" applyFill="1" applyBorder="1" applyAlignment="1" applyProtection="1">
      <alignment horizontal="right" vertical="center"/>
      <protection locked="0"/>
    </xf>
    <xf numFmtId="0" fontId="3" fillId="7" borderId="1" xfId="0" applyFont="1" applyFill="1" applyBorder="1" applyAlignment="1" applyProtection="1">
      <alignment horizontal="right" vertical="center"/>
      <protection locked="0"/>
    </xf>
    <xf numFmtId="181" fontId="2" fillId="4" borderId="1" xfId="0" applyNumberFormat="1" applyFont="1" applyFill="1" applyBorder="1" applyAlignment="1">
      <alignment horizontal="right" vertical="center"/>
    </xf>
    <xf numFmtId="179" fontId="2" fillId="4" borderId="1" xfId="0" applyNumberFormat="1" applyFont="1" applyFill="1" applyBorder="1" applyAlignment="1">
      <alignment horizontal="right" vertical="center"/>
    </xf>
    <xf numFmtId="179" fontId="2" fillId="20" borderId="27" xfId="0" applyNumberFormat="1" applyFont="1" applyFill="1" applyBorder="1" applyAlignment="1">
      <alignment vertical="center"/>
    </xf>
    <xf numFmtId="181" fontId="2" fillId="4" borderId="1" xfId="0" applyNumberFormat="1" applyFont="1" applyFill="1" applyBorder="1" applyAlignment="1" applyProtection="1">
      <alignment horizontal="right" vertical="center"/>
      <protection locked="0"/>
    </xf>
    <xf numFmtId="181" fontId="2" fillId="4" borderId="0" xfId="0" applyNumberFormat="1" applyFont="1" applyFill="1" applyAlignment="1" applyProtection="1">
      <alignment horizontal="right" vertical="center"/>
      <protection locked="0"/>
    </xf>
    <xf numFmtId="179" fontId="2" fillId="5" borderId="6" xfId="0" applyNumberFormat="1" applyFont="1" applyFill="1" applyBorder="1" applyAlignment="1">
      <alignment vertical="center"/>
    </xf>
    <xf numFmtId="178" fontId="2" fillId="4" borderId="1" xfId="0" applyNumberFormat="1" applyFont="1" applyFill="1" applyBorder="1" applyAlignment="1" applyProtection="1">
      <alignment horizontal="right" vertical="center"/>
      <protection locked="0"/>
    </xf>
    <xf numFmtId="178" fontId="2" fillId="17" borderId="1" xfId="0" applyNumberFormat="1" applyFont="1" applyFill="1" applyBorder="1" applyAlignment="1" applyProtection="1">
      <alignment horizontal="right" vertical="center"/>
      <protection locked="0"/>
    </xf>
    <xf numFmtId="179" fontId="2" fillId="5" borderId="1" xfId="0" applyNumberFormat="1" applyFont="1" applyFill="1" applyBorder="1" applyAlignment="1">
      <alignment horizontal="center" vertical="center" wrapText="1"/>
    </xf>
    <xf numFmtId="179" fontId="2" fillId="4" borderId="1" xfId="0" applyNumberFormat="1" applyFont="1" applyFill="1" applyBorder="1" applyAlignment="1" applyProtection="1">
      <alignment horizontal="right" vertical="center"/>
      <protection locked="0"/>
    </xf>
    <xf numFmtId="0" fontId="2" fillId="15" borderId="27" xfId="0" applyFont="1" applyFill="1" applyBorder="1" applyAlignment="1">
      <alignment horizontal="center" vertical="center"/>
    </xf>
    <xf numFmtId="0" fontId="0" fillId="15" borderId="26" xfId="0" applyFill="1" applyBorder="1" applyAlignment="1" applyProtection="1">
      <alignment vertical="center"/>
      <protection locked="0"/>
    </xf>
    <xf numFmtId="0" fontId="0" fillId="15" borderId="26" xfId="0" applyFill="1" applyBorder="1" applyProtection="1">
      <protection locked="0"/>
    </xf>
    <xf numFmtId="0" fontId="6" fillId="3" borderId="24" xfId="0" applyFont="1" applyFill="1" applyBorder="1" applyAlignment="1">
      <alignment horizontal="center" vertical="center" wrapText="1"/>
    </xf>
    <xf numFmtId="0" fontId="6" fillId="3" borderId="3" xfId="0" applyFont="1" applyFill="1" applyBorder="1" applyAlignment="1">
      <alignment horizontal="center" vertical="center" wrapText="1"/>
    </xf>
    <xf numFmtId="0" fontId="2" fillId="7" borderId="1" xfId="0" applyFont="1" applyFill="1" applyBorder="1" applyAlignment="1">
      <alignment horizontal="center" vertical="center" wrapText="1"/>
    </xf>
    <xf numFmtId="0" fontId="2" fillId="19" borderId="1" xfId="0" applyFont="1" applyFill="1" applyBorder="1" applyAlignment="1">
      <alignment horizontal="center" vertical="center" wrapText="1"/>
    </xf>
    <xf numFmtId="0" fontId="12" fillId="3" borderId="24" xfId="0" applyFont="1" applyFill="1" applyBorder="1" applyAlignment="1">
      <alignment horizontal="center" vertical="center" wrapText="1"/>
    </xf>
    <xf numFmtId="0" fontId="12" fillId="3" borderId="3" xfId="0" applyFont="1" applyFill="1" applyBorder="1" applyAlignment="1">
      <alignment horizontal="center" vertical="center" wrapText="1"/>
    </xf>
    <xf numFmtId="179" fontId="2" fillId="5" borderId="1" xfId="0" applyNumberFormat="1" applyFont="1" applyFill="1" applyBorder="1" applyAlignment="1">
      <alignment horizontal="center" vertical="center"/>
    </xf>
    <xf numFmtId="0" fontId="2" fillId="7" borderId="6" xfId="0" applyFont="1" applyFill="1" applyBorder="1" applyAlignment="1">
      <alignment horizontal="center" vertical="center"/>
    </xf>
    <xf numFmtId="0" fontId="2" fillId="3" borderId="24" xfId="0" applyFont="1" applyFill="1" applyBorder="1" applyAlignment="1">
      <alignment horizontal="center" vertical="center" wrapText="1"/>
    </xf>
    <xf numFmtId="0" fontId="2" fillId="3" borderId="3" xfId="0" applyFont="1" applyFill="1" applyBorder="1" applyAlignment="1">
      <alignment horizontal="center" vertical="center" wrapText="1"/>
    </xf>
    <xf numFmtId="0" fontId="4" fillId="0" borderId="1" xfId="0" applyFont="1" applyBorder="1" applyAlignment="1" applyProtection="1">
      <alignment horizontal="center" vertical="center"/>
      <protection locked="0"/>
    </xf>
    <xf numFmtId="0" fontId="4" fillId="0" borderId="24" xfId="0" applyFont="1" applyBorder="1" applyAlignment="1" applyProtection="1">
      <alignment horizontal="center" vertical="center"/>
      <protection locked="0"/>
    </xf>
    <xf numFmtId="0" fontId="4" fillId="0" borderId="25" xfId="0" applyFont="1" applyBorder="1" applyAlignment="1" applyProtection="1">
      <alignment horizontal="center" vertical="center"/>
      <protection locked="0"/>
    </xf>
    <xf numFmtId="0" fontId="2" fillId="7" borderId="24" xfId="0" applyFont="1" applyFill="1" applyBorder="1" applyAlignment="1">
      <alignment horizontal="center" vertical="center" wrapText="1"/>
    </xf>
    <xf numFmtId="0" fontId="2" fillId="7" borderId="3" xfId="0" applyFont="1" applyFill="1" applyBorder="1" applyAlignment="1">
      <alignment horizontal="center" vertical="center" wrapText="1"/>
    </xf>
    <xf numFmtId="0" fontId="6" fillId="19" borderId="24" xfId="0" applyFont="1" applyFill="1" applyBorder="1" applyAlignment="1">
      <alignment horizontal="center" vertical="center" wrapText="1"/>
    </xf>
    <xf numFmtId="0" fontId="6" fillId="19" borderId="3" xfId="0" applyFont="1" applyFill="1" applyBorder="1" applyAlignment="1">
      <alignment horizontal="center" vertical="center" wrapText="1"/>
    </xf>
    <xf numFmtId="0" fontId="2" fillId="5" borderId="28" xfId="0" applyFont="1" applyFill="1" applyBorder="1" applyAlignment="1">
      <alignment horizontal="center" vertical="center" wrapText="1"/>
    </xf>
    <xf numFmtId="0" fontId="2" fillId="5" borderId="29" xfId="0" applyFont="1" applyFill="1" applyBorder="1" applyAlignment="1">
      <alignment horizontal="center" vertical="center" wrapText="1"/>
    </xf>
    <xf numFmtId="0" fontId="2" fillId="19" borderId="6" xfId="0" applyFont="1" applyFill="1" applyBorder="1" applyAlignment="1">
      <alignment horizontal="center" vertical="center"/>
    </xf>
    <xf numFmtId="0" fontId="2" fillId="3" borderId="26" xfId="0" applyFont="1" applyFill="1" applyBorder="1" applyAlignment="1">
      <alignment horizontal="center" vertical="center"/>
    </xf>
    <xf numFmtId="0" fontId="2" fillId="3" borderId="27" xfId="0" applyFont="1" applyFill="1" applyBorder="1" applyAlignment="1">
      <alignment horizontal="center" vertical="center"/>
    </xf>
    <xf numFmtId="0" fontId="0" fillId="3" borderId="26" xfId="0" applyFill="1" applyBorder="1" applyAlignment="1" applyProtection="1">
      <alignment horizontal="center" vertical="center"/>
      <protection locked="0"/>
    </xf>
    <xf numFmtId="0" fontId="0" fillId="3" borderId="27" xfId="0" applyFill="1" applyBorder="1" applyAlignment="1" applyProtection="1">
      <alignment horizontal="center" vertical="center"/>
      <protection locked="0"/>
    </xf>
    <xf numFmtId="0" fontId="3" fillId="0" borderId="24" xfId="0" applyFont="1" applyBorder="1" applyAlignment="1" applyProtection="1">
      <alignment horizontal="center" vertical="center"/>
      <protection locked="0"/>
    </xf>
    <xf numFmtId="0" fontId="3" fillId="0" borderId="25" xfId="0" applyFont="1" applyBorder="1" applyAlignment="1" applyProtection="1">
      <alignment horizontal="center" vertical="center"/>
      <protection locked="0"/>
    </xf>
    <xf numFmtId="0" fontId="3" fillId="0" borderId="3" xfId="0" applyFont="1" applyBorder="1" applyAlignment="1" applyProtection="1">
      <alignment horizontal="center" vertical="center"/>
      <protection locked="0"/>
    </xf>
    <xf numFmtId="0" fontId="3" fillId="2" borderId="8" xfId="0" applyFont="1" applyFill="1" applyBorder="1" applyAlignment="1" applyProtection="1">
      <alignment horizontal="center" vertical="center"/>
      <protection locked="0"/>
    </xf>
    <xf numFmtId="0" fontId="3" fillId="2" borderId="9" xfId="0" applyFont="1" applyFill="1" applyBorder="1" applyAlignment="1" applyProtection="1">
      <alignment horizontal="center" vertical="center"/>
      <protection locked="0"/>
    </xf>
    <xf numFmtId="0" fontId="3" fillId="2" borderId="10" xfId="0" applyFont="1" applyFill="1" applyBorder="1" applyAlignment="1" applyProtection="1">
      <alignment horizontal="center" vertical="center"/>
      <protection locked="0"/>
    </xf>
    <xf numFmtId="176" fontId="3" fillId="2" borderId="8" xfId="0" applyNumberFormat="1" applyFont="1" applyFill="1" applyBorder="1" applyAlignment="1" applyProtection="1">
      <alignment horizontal="center" vertical="center"/>
      <protection locked="0"/>
    </xf>
    <xf numFmtId="176" fontId="3" fillId="2" borderId="9" xfId="0" applyNumberFormat="1" applyFont="1" applyFill="1" applyBorder="1" applyAlignment="1" applyProtection="1">
      <alignment horizontal="center" vertical="center"/>
      <protection locked="0"/>
    </xf>
    <xf numFmtId="176" fontId="3" fillId="2" borderId="10" xfId="0" applyNumberFormat="1" applyFont="1" applyFill="1" applyBorder="1" applyAlignment="1" applyProtection="1">
      <alignment horizontal="center" vertical="center"/>
      <protection locked="0"/>
    </xf>
    <xf numFmtId="0" fontId="3" fillId="2" borderId="9" xfId="0" applyFont="1" applyFill="1" applyBorder="1" applyAlignment="1" applyProtection="1">
      <alignment horizontal="left" vertical="center"/>
      <protection locked="0"/>
    </xf>
    <xf numFmtId="0" fontId="4" fillId="7" borderId="24" xfId="0" applyFont="1" applyFill="1" applyBorder="1" applyAlignment="1" applyProtection="1">
      <alignment horizontal="center" vertical="center"/>
      <protection locked="0"/>
    </xf>
    <xf numFmtId="0" fontId="4" fillId="7" borderId="25" xfId="0" applyFont="1" applyFill="1" applyBorder="1" applyAlignment="1" applyProtection="1">
      <alignment horizontal="center" vertical="center"/>
      <protection locked="0"/>
    </xf>
    <xf numFmtId="0" fontId="4" fillId="7" borderId="3" xfId="0" applyFont="1" applyFill="1" applyBorder="1" applyAlignment="1" applyProtection="1">
      <alignment horizontal="center" vertical="center"/>
      <protection locked="0"/>
    </xf>
    <xf numFmtId="0" fontId="3" fillId="2" borderId="19" xfId="0" applyFont="1" applyFill="1" applyBorder="1" applyAlignment="1" applyProtection="1">
      <alignment horizontal="center" vertical="center"/>
      <protection locked="0"/>
    </xf>
    <xf numFmtId="0" fontId="3" fillId="2" borderId="20" xfId="0" applyFont="1" applyFill="1" applyBorder="1" applyAlignment="1" applyProtection="1">
      <alignment horizontal="center" vertical="center"/>
      <protection locked="0"/>
    </xf>
    <xf numFmtId="0" fontId="3" fillId="2" borderId="21" xfId="0" applyFont="1" applyFill="1" applyBorder="1" applyAlignment="1" applyProtection="1">
      <alignment horizontal="center" vertical="center"/>
      <protection locked="0"/>
    </xf>
    <xf numFmtId="0" fontId="2" fillId="19" borderId="26" xfId="0" applyFont="1" applyFill="1" applyBorder="1" applyAlignment="1">
      <alignment horizontal="center" vertical="center"/>
    </xf>
    <xf numFmtId="0" fontId="2" fillId="19" borderId="27" xfId="0" applyFont="1" applyFill="1" applyBorder="1" applyAlignment="1">
      <alignment horizontal="center" vertical="center"/>
    </xf>
    <xf numFmtId="0" fontId="2" fillId="3" borderId="24" xfId="0" applyFont="1" applyFill="1" applyBorder="1" applyAlignment="1">
      <alignment horizontal="center" vertical="center"/>
    </xf>
    <xf numFmtId="0" fontId="2" fillId="3" borderId="25" xfId="0" applyFont="1" applyFill="1" applyBorder="1" applyAlignment="1">
      <alignment horizontal="center" vertical="center"/>
    </xf>
    <xf numFmtId="0" fontId="2" fillId="3" borderId="3" xfId="0" applyFont="1" applyFill="1" applyBorder="1" applyAlignment="1">
      <alignment horizontal="center" vertical="center"/>
    </xf>
    <xf numFmtId="0" fontId="0" fillId="19" borderId="26" xfId="0" applyFill="1" applyBorder="1" applyAlignment="1" applyProtection="1">
      <alignment horizontal="center" vertical="center"/>
      <protection locked="0"/>
    </xf>
    <xf numFmtId="0" fontId="0" fillId="19" borderId="27" xfId="0" applyFill="1" applyBorder="1" applyAlignment="1" applyProtection="1">
      <alignment horizontal="center" vertical="center"/>
      <protection locked="0"/>
    </xf>
    <xf numFmtId="0" fontId="0" fillId="15" borderId="26" xfId="0" applyFill="1" applyBorder="1" applyAlignment="1" applyProtection="1">
      <alignment horizontal="center" vertical="center"/>
      <protection locked="0"/>
    </xf>
    <xf numFmtId="0" fontId="0" fillId="15" borderId="27" xfId="0" applyFill="1" applyBorder="1" applyAlignment="1" applyProtection="1">
      <alignment horizontal="center" vertical="center"/>
      <protection locked="0"/>
    </xf>
    <xf numFmtId="0" fontId="2" fillId="5" borderId="30" xfId="0" applyFont="1" applyFill="1" applyBorder="1" applyAlignment="1">
      <alignment horizontal="center" vertical="center" wrapText="1"/>
    </xf>
    <xf numFmtId="0" fontId="2" fillId="5" borderId="31" xfId="0" applyFont="1" applyFill="1" applyBorder="1" applyAlignment="1">
      <alignment horizontal="center" vertical="center" wrapText="1"/>
    </xf>
    <xf numFmtId="0" fontId="2" fillId="3" borderId="30" xfId="0" applyFont="1" applyFill="1" applyBorder="1" applyAlignment="1">
      <alignment horizontal="center" vertical="center" wrapText="1"/>
    </xf>
    <xf numFmtId="0" fontId="2" fillId="3" borderId="31" xfId="0" applyFont="1" applyFill="1" applyBorder="1" applyAlignment="1">
      <alignment horizontal="center" vertical="center" wrapText="1"/>
    </xf>
    <xf numFmtId="0" fontId="6" fillId="19" borderId="32" xfId="0" applyFont="1" applyFill="1" applyBorder="1" applyAlignment="1">
      <alignment horizontal="center" vertical="center" wrapText="1"/>
    </xf>
    <xf numFmtId="0" fontId="6" fillId="3" borderId="1" xfId="0" applyFont="1" applyFill="1" applyBorder="1" applyAlignment="1">
      <alignment horizontal="center" vertical="center" wrapText="1"/>
    </xf>
    <xf numFmtId="0" fontId="2" fillId="3" borderId="1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 wrapText="1"/>
    </xf>
    <xf numFmtId="0" fontId="10" fillId="15" borderId="6" xfId="0" applyFont="1" applyFill="1" applyBorder="1" applyAlignment="1">
      <alignment horizontal="center" vertical="center"/>
    </xf>
    <xf numFmtId="0" fontId="0" fillId="15" borderId="33" xfId="0" applyFill="1" applyBorder="1" applyAlignment="1" applyProtection="1">
      <alignment horizontal="center" vertical="center"/>
      <protection locked="0"/>
    </xf>
    <xf numFmtId="0" fontId="2" fillId="3" borderId="1" xfId="0" applyFont="1" applyFill="1" applyBorder="1" applyAlignment="1">
      <alignment vertical="center"/>
    </xf>
  </cellXfs>
  <cellStyles count="1">
    <cellStyle name="一般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pageSetUpPr fitToPage="1"/>
  </sheetPr>
  <dimension ref="A1:X105"/>
  <sheetViews>
    <sheetView zoomScaleNormal="100" workbookViewId="0">
      <selection activeCell="B14" sqref="B14"/>
    </sheetView>
  </sheetViews>
  <sheetFormatPr defaultColWidth="9" defaultRowHeight="16.5" x14ac:dyDescent="0.25"/>
  <cols>
    <col min="1" max="1" width="20.375" style="4" customWidth="1"/>
    <col min="2" max="2" width="19.5" style="4" customWidth="1"/>
    <col min="3" max="3" width="20.375" style="4" customWidth="1"/>
    <col min="4" max="4" width="8.75" style="4" customWidth="1"/>
    <col min="5" max="6" width="10.75" style="4" bestFit="1" customWidth="1"/>
    <col min="7" max="7" width="12.75" style="4" bestFit="1" customWidth="1"/>
    <col min="8" max="8" width="10.875" style="6" customWidth="1"/>
    <col min="9" max="9" width="9" style="1"/>
    <col min="10" max="10" width="21.875" style="7" bestFit="1" customWidth="1"/>
    <col min="11" max="11" width="13.25" style="4" bestFit="1" customWidth="1"/>
    <col min="12" max="13" width="13.25" style="7" bestFit="1" customWidth="1"/>
    <col min="14" max="14" width="12.5" style="4" customWidth="1"/>
    <col min="15" max="15" width="11.625" style="4" customWidth="1"/>
    <col min="16" max="16" width="12.125" style="4" customWidth="1"/>
    <col min="17" max="18" width="9" style="8"/>
    <col min="19" max="16384" width="9" style="1"/>
  </cols>
  <sheetData>
    <row r="1" spans="1:24" ht="21.75" customHeight="1" thickBot="1" x14ac:dyDescent="0.3">
      <c r="A1" s="230" t="s">
        <v>15</v>
      </c>
      <c r="B1" s="231"/>
      <c r="C1" s="231"/>
      <c r="D1" s="231"/>
      <c r="E1" s="231"/>
      <c r="F1" s="231"/>
      <c r="G1" s="231"/>
      <c r="H1" s="232"/>
    </row>
    <row r="2" spans="1:24" ht="24.75" customHeight="1" thickBot="1" x14ac:dyDescent="0.3">
      <c r="A2" s="9"/>
      <c r="B2" s="236"/>
      <c r="C2" s="236"/>
      <c r="D2" s="236"/>
      <c r="E2" s="236"/>
      <c r="F2" s="10"/>
      <c r="G2" s="10"/>
      <c r="H2" s="11"/>
      <c r="J2" s="12" t="s">
        <v>20</v>
      </c>
      <c r="K2" s="13"/>
      <c r="L2" s="12"/>
      <c r="M2" s="12"/>
      <c r="N2" s="13"/>
      <c r="O2" s="14"/>
      <c r="P2" s="14"/>
      <c r="Q2" s="15"/>
      <c r="R2" s="15"/>
    </row>
    <row r="3" spans="1:24" ht="20.100000000000001" customHeight="1" thickBot="1" x14ac:dyDescent="0.3">
      <c r="A3" s="16"/>
      <c r="B3" s="17" t="s">
        <v>112</v>
      </c>
      <c r="C3" s="18" t="s">
        <v>111</v>
      </c>
      <c r="D3" s="19" t="s">
        <v>1</v>
      </c>
      <c r="E3" s="20" t="s">
        <v>0</v>
      </c>
      <c r="F3" s="20" t="s">
        <v>2</v>
      </c>
      <c r="G3" s="21" t="s">
        <v>27</v>
      </c>
      <c r="H3" s="22" t="s">
        <v>64</v>
      </c>
      <c r="J3" s="12" t="s">
        <v>16</v>
      </c>
      <c r="K3" s="116">
        <f>(B57/6/6)+(C57/6/4.4)</f>
        <v>0.15151515151515149</v>
      </c>
      <c r="L3" s="12"/>
      <c r="M3" s="12"/>
      <c r="N3" s="23"/>
      <c r="O3" s="24"/>
      <c r="P3" s="24"/>
      <c r="Q3" s="15"/>
      <c r="R3" s="15"/>
    </row>
    <row r="4" spans="1:24" ht="20.100000000000001" customHeight="1" thickBot="1" x14ac:dyDescent="0.3">
      <c r="A4" s="233" t="s">
        <v>3</v>
      </c>
      <c r="B4" s="234"/>
      <c r="C4" s="234"/>
      <c r="D4" s="234"/>
      <c r="E4" s="234"/>
      <c r="F4" s="234"/>
      <c r="G4" s="234"/>
      <c r="H4" s="235"/>
      <c r="J4" s="25" t="s">
        <v>30</v>
      </c>
      <c r="K4" s="116">
        <f>(B57/6/6)+(C57/6/4.4)</f>
        <v>0.15151515151515149</v>
      </c>
      <c r="L4" s="12"/>
      <c r="M4" s="25"/>
      <c r="N4" s="23"/>
      <c r="O4" s="24"/>
      <c r="P4" s="24"/>
      <c r="Q4" s="15"/>
      <c r="R4" s="15"/>
    </row>
    <row r="5" spans="1:24" ht="24" customHeight="1" x14ac:dyDescent="0.3">
      <c r="A5" s="26" t="s">
        <v>5</v>
      </c>
      <c r="B5" s="27">
        <f>37+1</f>
        <v>38</v>
      </c>
      <c r="C5" s="125"/>
      <c r="D5" s="28">
        <v>18</v>
      </c>
      <c r="E5" s="97">
        <f>(B5*10)+D5</f>
        <v>398</v>
      </c>
      <c r="F5" s="97">
        <f>E5+(B18*2)+B20+(B84*2)+(B85*15)+(B86*3)+B90+(B91*5)+(B93*5)+(B94*5)+(B95*5)+(B92*5)+(B100*3)+(B99*3)+(B98*3)</f>
        <v>447</v>
      </c>
      <c r="G5" s="29">
        <v>4355</v>
      </c>
      <c r="H5" s="101">
        <f>G5-F5</f>
        <v>3908</v>
      </c>
      <c r="I5" s="30"/>
      <c r="J5" s="12" t="s">
        <v>31</v>
      </c>
      <c r="K5" s="116">
        <f>(B57/6/6)+(C57/6/4.4)</f>
        <v>0.15151515151515149</v>
      </c>
      <c r="L5" s="12"/>
      <c r="M5" s="12"/>
      <c r="N5" s="23"/>
      <c r="O5" s="24"/>
      <c r="P5" s="24"/>
      <c r="Q5" s="15"/>
      <c r="R5" s="15"/>
      <c r="U5" s="2"/>
      <c r="X5" s="2"/>
    </row>
    <row r="6" spans="1:24" ht="24" customHeight="1" x14ac:dyDescent="0.3">
      <c r="A6" s="31" t="s">
        <v>108</v>
      </c>
      <c r="B6" s="32">
        <v>7</v>
      </c>
      <c r="C6" s="126"/>
      <c r="D6" s="33"/>
      <c r="E6" s="97">
        <f t="shared" ref="E6:E9" si="0">(B6*10)+D6</f>
        <v>70</v>
      </c>
      <c r="F6" s="98">
        <f>E6+(B18*2)+B20+(B84*2)+(B86*3)+B90</f>
        <v>119</v>
      </c>
      <c r="G6" s="34">
        <v>466</v>
      </c>
      <c r="H6" s="102">
        <f t="shared" ref="H6:H9" si="1">G6-F6</f>
        <v>347</v>
      </c>
      <c r="I6" s="30"/>
      <c r="J6" s="12" t="s">
        <v>19</v>
      </c>
      <c r="K6" s="116">
        <f>(B57/6/6)+(C57/6/4.4)</f>
        <v>0.15151515151515149</v>
      </c>
      <c r="L6" s="12"/>
      <c r="M6" s="12"/>
      <c r="N6" s="23"/>
      <c r="O6" s="24"/>
      <c r="P6" s="24"/>
      <c r="Q6" s="15"/>
      <c r="R6" s="15"/>
      <c r="U6" s="2"/>
      <c r="X6" s="2"/>
    </row>
    <row r="7" spans="1:24" ht="24" customHeight="1" x14ac:dyDescent="0.3">
      <c r="A7" s="31" t="s">
        <v>6</v>
      </c>
      <c r="B7" s="32">
        <v>1</v>
      </c>
      <c r="C7" s="126"/>
      <c r="D7" s="33"/>
      <c r="E7" s="97">
        <f t="shared" si="0"/>
        <v>10</v>
      </c>
      <c r="F7" s="98">
        <f>E7+(B18*2)+B20+(B84*2)+(B86*3)+B90</f>
        <v>59</v>
      </c>
      <c r="G7" s="34">
        <v>356</v>
      </c>
      <c r="H7" s="102">
        <f t="shared" si="1"/>
        <v>297</v>
      </c>
      <c r="I7" s="30"/>
      <c r="J7" s="12" t="s">
        <v>18</v>
      </c>
      <c r="K7" s="116">
        <f>(B57/6/6)+(C57/6/4.4)</f>
        <v>0.15151515151515149</v>
      </c>
      <c r="L7" s="12"/>
      <c r="M7" s="12"/>
      <c r="N7" s="23"/>
      <c r="O7" s="24"/>
      <c r="P7" s="24"/>
      <c r="Q7" s="15"/>
      <c r="R7" s="15"/>
      <c r="U7" s="2"/>
      <c r="X7" s="2"/>
    </row>
    <row r="8" spans="1:24" ht="24" customHeight="1" x14ac:dyDescent="0.3">
      <c r="A8" s="31" t="s">
        <v>4</v>
      </c>
      <c r="B8" s="32">
        <v>1</v>
      </c>
      <c r="C8" s="126"/>
      <c r="D8" s="33">
        <v>6</v>
      </c>
      <c r="E8" s="97">
        <f t="shared" si="0"/>
        <v>16</v>
      </c>
      <c r="F8" s="98">
        <f>E8+(B18*2)+B20+(B84*2)+(B86*3)+B90</f>
        <v>65</v>
      </c>
      <c r="G8" s="34">
        <v>275</v>
      </c>
      <c r="H8" s="102">
        <f t="shared" si="1"/>
        <v>210</v>
      </c>
      <c r="I8" s="30"/>
      <c r="J8" s="12" t="s">
        <v>17</v>
      </c>
      <c r="K8" s="116">
        <f>(B57/6/6)+(C57/6/4.4)</f>
        <v>0.15151515151515149</v>
      </c>
      <c r="L8" s="12"/>
      <c r="M8" s="25"/>
      <c r="N8" s="23"/>
      <c r="O8" s="24"/>
      <c r="P8" s="24"/>
      <c r="Q8" s="15"/>
      <c r="R8" s="15"/>
      <c r="U8" s="2"/>
      <c r="X8" s="2"/>
    </row>
    <row r="9" spans="1:24" ht="24" customHeight="1" thickBot="1" x14ac:dyDescent="0.35">
      <c r="A9" s="35" t="s">
        <v>7</v>
      </c>
      <c r="B9" s="36">
        <v>1</v>
      </c>
      <c r="C9" s="127"/>
      <c r="D9" s="37"/>
      <c r="E9" s="99">
        <f t="shared" si="0"/>
        <v>10</v>
      </c>
      <c r="F9" s="99">
        <f>E9+(B18*2)+B20+(B84*2)+(B86*3)+B90</f>
        <v>59</v>
      </c>
      <c r="G9" s="38">
        <v>306</v>
      </c>
      <c r="H9" s="103">
        <f t="shared" si="1"/>
        <v>247</v>
      </c>
      <c r="I9" s="30"/>
      <c r="J9" s="25"/>
      <c r="K9" s="14"/>
      <c r="L9" s="12"/>
      <c r="M9" s="12"/>
      <c r="N9" s="23"/>
      <c r="O9" s="24"/>
      <c r="P9" s="24"/>
      <c r="Q9" s="15"/>
      <c r="R9" s="15"/>
      <c r="U9" s="2"/>
      <c r="X9" s="2"/>
    </row>
    <row r="10" spans="1:24" ht="24" customHeight="1" x14ac:dyDescent="0.3">
      <c r="A10" s="26" t="s">
        <v>8</v>
      </c>
      <c r="B10" s="39">
        <v>2</v>
      </c>
      <c r="C10" s="56"/>
      <c r="D10" s="28">
        <v>2</v>
      </c>
      <c r="E10" s="97">
        <f>(B10*10)+D10</f>
        <v>22</v>
      </c>
      <c r="F10" s="97">
        <f>E10+(B19*2)+B20+B84+(B87*3)+B90+(B99*3)</f>
        <v>36</v>
      </c>
      <c r="G10" s="41">
        <v>417</v>
      </c>
      <c r="H10" s="101">
        <f t="shared" ref="H10:H14" si="2">G10-F10</f>
        <v>381</v>
      </c>
      <c r="I10" s="30"/>
      <c r="J10" s="25"/>
      <c r="K10" s="14"/>
      <c r="L10" s="12"/>
      <c r="M10" s="25"/>
      <c r="N10" s="24"/>
      <c r="O10" s="24"/>
      <c r="P10" s="24"/>
      <c r="Q10" s="15"/>
      <c r="R10" s="15"/>
      <c r="U10" s="2"/>
      <c r="X10" s="2"/>
    </row>
    <row r="11" spans="1:24" ht="24" customHeight="1" x14ac:dyDescent="0.3">
      <c r="A11" s="31" t="s">
        <v>9</v>
      </c>
      <c r="B11" s="42"/>
      <c r="C11" s="60"/>
      <c r="D11" s="33">
        <v>2</v>
      </c>
      <c r="E11" s="97">
        <f t="shared" ref="E11:E14" si="3">(B11*10)+D11</f>
        <v>2</v>
      </c>
      <c r="F11" s="98">
        <f>E11+(B19*2)+B20+B84+(B87*3)+B90</f>
        <v>16</v>
      </c>
      <c r="G11" s="44">
        <v>255</v>
      </c>
      <c r="H11" s="102">
        <f>G11-F11</f>
        <v>239</v>
      </c>
      <c r="I11" s="30"/>
      <c r="J11" s="45" t="s">
        <v>240</v>
      </c>
      <c r="K11" s="46" t="s">
        <v>91</v>
      </c>
      <c r="L11" s="47" t="s">
        <v>239</v>
      </c>
      <c r="M11" s="46" t="s">
        <v>90</v>
      </c>
      <c r="N11" s="48" t="s">
        <v>27</v>
      </c>
      <c r="O11" s="49" t="s">
        <v>241</v>
      </c>
      <c r="U11" s="2"/>
      <c r="X11" s="2"/>
    </row>
    <row r="12" spans="1:24" ht="24" customHeight="1" x14ac:dyDescent="0.3">
      <c r="A12" s="31" t="s">
        <v>109</v>
      </c>
      <c r="B12" s="42"/>
      <c r="C12" s="60"/>
      <c r="D12" s="33"/>
      <c r="E12" s="97">
        <f t="shared" si="3"/>
        <v>0</v>
      </c>
      <c r="F12" s="98">
        <f>E12+(B19*2)+B20+B84+(B87*3)+B90</f>
        <v>14</v>
      </c>
      <c r="G12" s="44">
        <v>64</v>
      </c>
      <c r="H12" s="102">
        <f>G12-F12</f>
        <v>50</v>
      </c>
      <c r="I12" s="30"/>
      <c r="J12" s="45" t="s">
        <v>47</v>
      </c>
      <c r="K12" s="112">
        <f>(B88*2)+(B89*4)+(B91*2)+(B92*2)+(B93*2)+(B96*2)+(B98*4)+(B97*4)</f>
        <v>4</v>
      </c>
      <c r="L12" s="52"/>
      <c r="M12" s="114">
        <f t="shared" ref="M12:M20" si="4">K12+L12</f>
        <v>4</v>
      </c>
      <c r="N12" s="48">
        <v>23</v>
      </c>
      <c r="O12" s="115">
        <f t="shared" ref="O12:O20" si="5">N12-M12</f>
        <v>19</v>
      </c>
      <c r="U12" s="2"/>
      <c r="V12" s="3"/>
      <c r="X12" s="2"/>
    </row>
    <row r="13" spans="1:24" ht="24" customHeight="1" x14ac:dyDescent="0.3">
      <c r="A13" s="31" t="s">
        <v>10</v>
      </c>
      <c r="B13" s="42"/>
      <c r="C13" s="60"/>
      <c r="D13" s="33"/>
      <c r="E13" s="97">
        <f t="shared" si="3"/>
        <v>0</v>
      </c>
      <c r="F13" s="98">
        <f>E13+(B19*2)+B20+B84+(B87*3)+B90+(B99*3)</f>
        <v>14</v>
      </c>
      <c r="G13" s="44">
        <v>272</v>
      </c>
      <c r="H13" s="102">
        <f>G13-F13</f>
        <v>258</v>
      </c>
      <c r="I13" s="30"/>
      <c r="J13" s="45" t="s">
        <v>49</v>
      </c>
      <c r="K13" s="112">
        <f>(B88*2)+(B89*4)+(B91*2)+(B92*2)+(B93*2)+(B96*2)+(B98*4)+(B97*4)</f>
        <v>4</v>
      </c>
      <c r="L13" s="52"/>
      <c r="M13" s="114">
        <f t="shared" si="4"/>
        <v>4</v>
      </c>
      <c r="N13" s="48">
        <v>59</v>
      </c>
      <c r="O13" s="115">
        <f t="shared" si="5"/>
        <v>55</v>
      </c>
      <c r="U13" s="2"/>
      <c r="V13" s="3"/>
      <c r="X13" s="2"/>
    </row>
    <row r="14" spans="1:24" ht="24" customHeight="1" thickBot="1" x14ac:dyDescent="0.35">
      <c r="A14" s="35" t="s">
        <v>24</v>
      </c>
      <c r="B14" s="50">
        <v>1</v>
      </c>
      <c r="C14" s="81"/>
      <c r="D14" s="37"/>
      <c r="E14" s="99">
        <f t="shared" si="3"/>
        <v>10</v>
      </c>
      <c r="F14" s="99">
        <f>E14+(B19*2)+B20+B84+(B87*3)+B90</f>
        <v>24</v>
      </c>
      <c r="G14" s="51">
        <v>172</v>
      </c>
      <c r="H14" s="103">
        <f t="shared" si="2"/>
        <v>148</v>
      </c>
      <c r="I14" s="30"/>
      <c r="J14" s="45" t="s">
        <v>48</v>
      </c>
      <c r="K14" s="112">
        <f>(B88*2)+(B89*4)+(B98*4)+(B97*4)</f>
        <v>4</v>
      </c>
      <c r="L14" s="52"/>
      <c r="M14" s="114">
        <f t="shared" si="4"/>
        <v>4</v>
      </c>
      <c r="N14" s="48">
        <v>17</v>
      </c>
      <c r="O14" s="115">
        <f t="shared" si="5"/>
        <v>13</v>
      </c>
      <c r="U14" s="2"/>
      <c r="V14" s="3"/>
      <c r="X14" s="2"/>
    </row>
    <row r="15" spans="1:24" ht="24" customHeight="1" x14ac:dyDescent="0.3">
      <c r="A15" s="53" t="s">
        <v>83</v>
      </c>
      <c r="B15" s="42"/>
      <c r="C15" s="43"/>
      <c r="D15" s="33"/>
      <c r="E15" s="129">
        <f>(B15*8)+(C15*12)+D15</f>
        <v>0</v>
      </c>
      <c r="F15" s="100">
        <f>E15+(B90*3)+(B95*3)+(B100*3)</f>
        <v>0</v>
      </c>
      <c r="G15" s="41">
        <v>94</v>
      </c>
      <c r="H15" s="102">
        <f>G15-F15</f>
        <v>94</v>
      </c>
      <c r="I15" s="30"/>
      <c r="J15" s="45" t="s">
        <v>55</v>
      </c>
      <c r="K15" s="112">
        <f>(B88*2)+(B89*4)+(B91*2)+(B92*2)+(B93*2)+(B96*2)+(B97*3)</f>
        <v>4</v>
      </c>
      <c r="L15" s="52"/>
      <c r="M15" s="114">
        <f t="shared" si="4"/>
        <v>4</v>
      </c>
      <c r="N15" s="48">
        <v>73</v>
      </c>
      <c r="O15" s="115">
        <f t="shared" si="5"/>
        <v>69</v>
      </c>
      <c r="U15" s="2"/>
      <c r="V15" s="3"/>
      <c r="X15" s="2"/>
    </row>
    <row r="16" spans="1:24" ht="24" customHeight="1" thickBot="1" x14ac:dyDescent="0.35">
      <c r="A16" s="53" t="s">
        <v>68</v>
      </c>
      <c r="B16" s="42"/>
      <c r="C16" s="43">
        <v>1</v>
      </c>
      <c r="D16" s="33"/>
      <c r="E16" s="100">
        <f>(B16*8)+(C16*12)+D16</f>
        <v>12</v>
      </c>
      <c r="F16" s="100">
        <f>E16+(B90*3)+(B95*3)+(B100*3)</f>
        <v>12</v>
      </c>
      <c r="G16" s="44">
        <v>15</v>
      </c>
      <c r="H16" s="102">
        <f>G16-F16</f>
        <v>3</v>
      </c>
      <c r="I16" s="30"/>
      <c r="J16" s="45" t="s">
        <v>53</v>
      </c>
      <c r="K16" s="112">
        <f>(B88*2)+(B89*4)+(B91*2)+(B92*2)+(B93*2)+(B96*2)+(B97*3)</f>
        <v>4</v>
      </c>
      <c r="L16" s="52"/>
      <c r="M16" s="114">
        <f t="shared" si="4"/>
        <v>4</v>
      </c>
      <c r="N16" s="48">
        <v>57</v>
      </c>
      <c r="O16" s="115">
        <f t="shared" si="5"/>
        <v>53</v>
      </c>
      <c r="U16" s="2"/>
      <c r="V16" s="3"/>
      <c r="X16" s="2"/>
    </row>
    <row r="17" spans="1:24" ht="24" customHeight="1" thickBot="1" x14ac:dyDescent="0.3">
      <c r="A17" s="230" t="s">
        <v>82</v>
      </c>
      <c r="B17" s="231"/>
      <c r="C17" s="231"/>
      <c r="D17" s="231"/>
      <c r="E17" s="231"/>
      <c r="F17" s="231"/>
      <c r="G17" s="231"/>
      <c r="H17" s="232"/>
      <c r="I17" s="30"/>
      <c r="J17" s="45" t="s">
        <v>57</v>
      </c>
      <c r="K17" s="112">
        <f>(B88*2)+(B89*4)+(B97*3)</f>
        <v>4</v>
      </c>
      <c r="L17" s="52"/>
      <c r="M17" s="114">
        <f t="shared" si="4"/>
        <v>4</v>
      </c>
      <c r="N17" s="48">
        <v>74</v>
      </c>
      <c r="O17" s="115">
        <f t="shared" si="5"/>
        <v>70</v>
      </c>
      <c r="U17" s="2"/>
      <c r="V17" s="3"/>
      <c r="X17" s="2"/>
    </row>
    <row r="18" spans="1:24" ht="24" customHeight="1" x14ac:dyDescent="0.3">
      <c r="A18" s="55" t="s">
        <v>11</v>
      </c>
      <c r="B18" s="39">
        <v>22</v>
      </c>
      <c r="C18" s="128"/>
      <c r="D18" s="56"/>
      <c r="E18" s="56"/>
      <c r="F18" s="56"/>
      <c r="G18" s="56"/>
      <c r="H18" s="57"/>
      <c r="I18" s="30"/>
      <c r="J18" s="45" t="s">
        <v>58</v>
      </c>
      <c r="K18" s="112">
        <f>(B88*2)+(B89*4)+(B91*2)+(B92*2)+(B93*2)+(B96*2)+(B97*3)</f>
        <v>4</v>
      </c>
      <c r="L18" s="52"/>
      <c r="M18" s="114">
        <f t="shared" si="4"/>
        <v>4</v>
      </c>
      <c r="N18" s="48">
        <v>36</v>
      </c>
      <c r="O18" s="115">
        <f t="shared" si="5"/>
        <v>32</v>
      </c>
      <c r="U18" s="2"/>
      <c r="V18" s="3"/>
      <c r="X18" s="2"/>
    </row>
    <row r="19" spans="1:24" ht="24" customHeight="1" x14ac:dyDescent="0.3">
      <c r="A19" s="59" t="s">
        <v>12</v>
      </c>
      <c r="B19" s="42">
        <v>6</v>
      </c>
      <c r="C19" s="60"/>
      <c r="D19" s="60"/>
      <c r="E19" s="60"/>
      <c r="F19" s="60"/>
      <c r="G19" s="60"/>
      <c r="H19" s="61"/>
      <c r="I19" s="30"/>
      <c r="J19" s="54" t="s">
        <v>61</v>
      </c>
      <c r="K19" s="112">
        <f>(B88*2)+(B89*4)+(B91*2)+(B92*2)+(B93*2)+(B96*2)+(B97*3)</f>
        <v>4</v>
      </c>
      <c r="L19" s="52"/>
      <c r="M19" s="114">
        <f t="shared" si="4"/>
        <v>4</v>
      </c>
      <c r="N19" s="48">
        <v>85</v>
      </c>
      <c r="O19" s="115">
        <f t="shared" si="5"/>
        <v>81</v>
      </c>
      <c r="S19" s="3"/>
    </row>
    <row r="20" spans="1:24" ht="24" customHeight="1" thickBot="1" x14ac:dyDescent="0.35">
      <c r="A20" s="59" t="s">
        <v>13</v>
      </c>
      <c r="B20" s="42">
        <v>2</v>
      </c>
      <c r="C20" s="60"/>
      <c r="D20" s="60"/>
      <c r="E20" s="60"/>
      <c r="F20" s="60"/>
      <c r="G20" s="60"/>
      <c r="H20" s="61"/>
      <c r="J20" s="5" t="s">
        <v>60</v>
      </c>
      <c r="K20" s="113">
        <f>(B88*2)+(B89*4)+(B97*3)</f>
        <v>4</v>
      </c>
      <c r="L20" s="58"/>
      <c r="M20" s="114">
        <f t="shared" si="4"/>
        <v>4</v>
      </c>
      <c r="N20" s="48">
        <v>48</v>
      </c>
      <c r="O20" s="115">
        <f t="shared" si="5"/>
        <v>44</v>
      </c>
      <c r="S20" s="3"/>
    </row>
    <row r="21" spans="1:24" ht="24" customHeight="1" thickBot="1" x14ac:dyDescent="0.3">
      <c r="A21" s="230" t="s">
        <v>78</v>
      </c>
      <c r="B21" s="231"/>
      <c r="C21" s="231"/>
      <c r="D21" s="231"/>
      <c r="E21" s="231"/>
      <c r="F21" s="231"/>
      <c r="G21" s="231"/>
      <c r="H21" s="232"/>
      <c r="J21" s="237" t="s">
        <v>225</v>
      </c>
      <c r="K21" s="238"/>
      <c r="L21" s="238"/>
      <c r="M21" s="238"/>
      <c r="N21" s="238"/>
      <c r="O21" s="239"/>
      <c r="S21" s="3"/>
    </row>
    <row r="22" spans="1:24" ht="24" customHeight="1" thickBot="1" x14ac:dyDescent="0.3">
      <c r="A22" s="59"/>
      <c r="B22" s="17" t="s">
        <v>79</v>
      </c>
      <c r="C22" s="18" t="s">
        <v>80</v>
      </c>
      <c r="D22" s="19" t="s">
        <v>1</v>
      </c>
      <c r="E22" s="20" t="s">
        <v>0</v>
      </c>
      <c r="F22" s="20" t="s">
        <v>2</v>
      </c>
      <c r="G22" s="21" t="s">
        <v>27</v>
      </c>
      <c r="H22" s="22" t="s">
        <v>64</v>
      </c>
      <c r="J22" s="45" t="s">
        <v>52</v>
      </c>
      <c r="K22" s="112"/>
      <c r="L22" s="52"/>
      <c r="M22" s="114">
        <f t="shared" ref="M22" si="6">K22+L22</f>
        <v>0</v>
      </c>
      <c r="N22" s="48"/>
      <c r="O22" s="115">
        <f t="shared" ref="O22:O29" si="7">N22-M22</f>
        <v>0</v>
      </c>
      <c r="S22" s="3"/>
    </row>
    <row r="23" spans="1:24" ht="24" customHeight="1" x14ac:dyDescent="0.25">
      <c r="A23" s="189" t="s">
        <v>81</v>
      </c>
      <c r="B23" s="68"/>
      <c r="C23" s="69"/>
      <c r="D23" s="63"/>
      <c r="E23" s="63"/>
      <c r="F23" s="63"/>
      <c r="G23" s="63"/>
      <c r="H23" s="63"/>
      <c r="J23" s="45" t="s">
        <v>50</v>
      </c>
      <c r="K23" s="112"/>
      <c r="L23" s="52"/>
      <c r="M23" s="114">
        <f t="shared" ref="M23:M27" si="8">K23+L23</f>
        <v>0</v>
      </c>
      <c r="N23" s="48"/>
      <c r="O23" s="115">
        <f t="shared" si="7"/>
        <v>0</v>
      </c>
      <c r="P23" s="66"/>
      <c r="Q23" s="66"/>
      <c r="R23" s="66"/>
      <c r="S23" s="3"/>
    </row>
    <row r="24" spans="1:24" ht="24" customHeight="1" x14ac:dyDescent="0.3">
      <c r="A24" s="59" t="s">
        <v>73</v>
      </c>
      <c r="B24" s="42">
        <v>1</v>
      </c>
      <c r="C24" s="43">
        <v>2</v>
      </c>
      <c r="D24" s="67"/>
      <c r="E24" s="97">
        <f>(B24*10)+(C24*15)+D24</f>
        <v>40</v>
      </c>
      <c r="F24" s="100">
        <f>E24+(B23*2)+(C23*3)+(B93*3)+(B95*2)+(B96*3)+(B98*3)</f>
        <v>40</v>
      </c>
      <c r="G24" s="34">
        <v>257</v>
      </c>
      <c r="H24" s="105">
        <f>G24-F24</f>
        <v>217</v>
      </c>
      <c r="J24" s="45" t="s">
        <v>51</v>
      </c>
      <c r="K24" s="112"/>
      <c r="L24" s="52"/>
      <c r="M24" s="114">
        <f t="shared" si="8"/>
        <v>0</v>
      </c>
      <c r="N24" s="48"/>
      <c r="O24" s="115">
        <f t="shared" si="7"/>
        <v>0</v>
      </c>
      <c r="S24" s="3"/>
    </row>
    <row r="25" spans="1:24" ht="24" customHeight="1" x14ac:dyDescent="0.3">
      <c r="A25" s="59" t="s">
        <v>74</v>
      </c>
      <c r="B25" s="42"/>
      <c r="C25" s="43"/>
      <c r="D25" s="67"/>
      <c r="E25" s="97">
        <f>(B25*10)+(C25*15)+D25</f>
        <v>0</v>
      </c>
      <c r="F25" s="100">
        <f>E25+(B23*2)+(C23*3)+(B93*3)+(B95*2)+(B96*3)+(B98*3)</f>
        <v>0</v>
      </c>
      <c r="G25" s="34">
        <v>327</v>
      </c>
      <c r="H25" s="105">
        <f>G25-F25</f>
        <v>327</v>
      </c>
      <c r="J25" s="45" t="s">
        <v>115</v>
      </c>
      <c r="K25" s="112"/>
      <c r="L25" s="52"/>
      <c r="M25" s="114">
        <f t="shared" si="8"/>
        <v>0</v>
      </c>
      <c r="N25" s="48"/>
      <c r="O25" s="115">
        <f t="shared" si="7"/>
        <v>0</v>
      </c>
      <c r="S25" s="3"/>
    </row>
    <row r="26" spans="1:24" ht="24" customHeight="1" x14ac:dyDescent="0.3">
      <c r="A26" s="59" t="s">
        <v>76</v>
      </c>
      <c r="B26" s="42"/>
      <c r="C26" s="43"/>
      <c r="D26" s="67"/>
      <c r="E26" s="97">
        <f>(B26*10)+(C26*15)+D26</f>
        <v>0</v>
      </c>
      <c r="F26" s="100">
        <f>E26++(B23*2)+(C23*3)+(B95*2)</f>
        <v>0</v>
      </c>
      <c r="G26" s="34">
        <v>162</v>
      </c>
      <c r="H26" s="105">
        <f>G26-F26</f>
        <v>162</v>
      </c>
      <c r="J26" s="45" t="s">
        <v>54</v>
      </c>
      <c r="K26" s="112"/>
      <c r="L26" s="52"/>
      <c r="M26" s="114">
        <f t="shared" si="8"/>
        <v>0</v>
      </c>
      <c r="N26" s="48"/>
      <c r="O26" s="115">
        <f t="shared" si="7"/>
        <v>0</v>
      </c>
      <c r="P26" s="66"/>
      <c r="Q26" s="66"/>
      <c r="R26" s="66"/>
      <c r="S26" s="3"/>
    </row>
    <row r="27" spans="1:24" ht="24" customHeight="1" x14ac:dyDescent="0.3">
      <c r="A27" s="59" t="s">
        <v>75</v>
      </c>
      <c r="B27" s="42"/>
      <c r="C27" s="43"/>
      <c r="D27" s="67"/>
      <c r="E27" s="97">
        <f t="shared" ref="E27:E28" si="9">(B27*10)+(C27*15)+D27</f>
        <v>0</v>
      </c>
      <c r="F27" s="100">
        <f>E27+(B23*2)+(C23*3)</f>
        <v>0</v>
      </c>
      <c r="G27" s="34">
        <v>26</v>
      </c>
      <c r="H27" s="105">
        <f t="shared" ref="H27:H28" si="10">G27-F27</f>
        <v>26</v>
      </c>
      <c r="J27" s="45" t="s">
        <v>56</v>
      </c>
      <c r="K27" s="112"/>
      <c r="L27" s="52"/>
      <c r="M27" s="114">
        <f t="shared" si="8"/>
        <v>0</v>
      </c>
      <c r="N27" s="48"/>
      <c r="O27" s="115">
        <f t="shared" si="7"/>
        <v>0</v>
      </c>
      <c r="P27" s="64"/>
      <c r="Q27" s="64"/>
      <c r="R27" s="64"/>
      <c r="S27" s="3"/>
    </row>
    <row r="28" spans="1:24" ht="24" customHeight="1" thickBot="1" x14ac:dyDescent="0.35">
      <c r="A28" s="59" t="s">
        <v>77</v>
      </c>
      <c r="B28" s="42"/>
      <c r="C28" s="43"/>
      <c r="D28" s="67"/>
      <c r="E28" s="97">
        <f t="shared" si="9"/>
        <v>0</v>
      </c>
      <c r="F28" s="100">
        <f>E28++(B23*2)+(C23*3)</f>
        <v>0</v>
      </c>
      <c r="G28" s="34">
        <v>97</v>
      </c>
      <c r="H28" s="105">
        <f t="shared" si="10"/>
        <v>97</v>
      </c>
      <c r="J28" s="45" t="s">
        <v>59</v>
      </c>
      <c r="K28" s="112"/>
      <c r="L28" s="52"/>
      <c r="M28" s="114">
        <f t="shared" ref="M28:M29" si="11">K28+L28</f>
        <v>0</v>
      </c>
      <c r="N28" s="48"/>
      <c r="O28" s="115">
        <f t="shared" si="7"/>
        <v>0</v>
      </c>
      <c r="P28" s="66"/>
      <c r="Q28" s="66"/>
      <c r="R28" s="66"/>
      <c r="S28" s="3"/>
    </row>
    <row r="29" spans="1:24" ht="24" customHeight="1" thickBot="1" x14ac:dyDescent="0.3">
      <c r="A29" s="230" t="s">
        <v>98</v>
      </c>
      <c r="B29" s="231"/>
      <c r="C29" s="231"/>
      <c r="D29" s="231"/>
      <c r="E29" s="231"/>
      <c r="F29" s="231"/>
      <c r="G29" s="231"/>
      <c r="H29" s="232"/>
      <c r="J29" s="45" t="s">
        <v>62</v>
      </c>
      <c r="K29" s="112"/>
      <c r="L29" s="52"/>
      <c r="M29" s="114">
        <f t="shared" si="11"/>
        <v>0</v>
      </c>
      <c r="N29" s="48"/>
      <c r="O29" s="115">
        <f t="shared" si="7"/>
        <v>0</v>
      </c>
      <c r="P29" s="66"/>
      <c r="Q29" s="66"/>
      <c r="R29" s="66"/>
      <c r="S29" s="3"/>
    </row>
    <row r="30" spans="1:24" ht="24" customHeight="1" thickBot="1" x14ac:dyDescent="0.3">
      <c r="A30" s="83"/>
      <c r="B30" s="122" t="s">
        <v>103</v>
      </c>
      <c r="C30" s="19" t="s">
        <v>1</v>
      </c>
      <c r="D30" s="20" t="s">
        <v>0</v>
      </c>
      <c r="E30" s="20" t="s">
        <v>2</v>
      </c>
      <c r="F30" s="79"/>
      <c r="G30" s="21" t="s">
        <v>27</v>
      </c>
      <c r="H30" s="123" t="s">
        <v>64</v>
      </c>
      <c r="J30" s="25"/>
      <c r="K30" s="14"/>
      <c r="L30" s="25"/>
      <c r="M30" s="65"/>
      <c r="N30" s="66"/>
      <c r="O30" s="66"/>
      <c r="P30" s="66"/>
      <c r="Q30" s="66"/>
      <c r="R30" s="66"/>
      <c r="S30" s="3"/>
    </row>
    <row r="31" spans="1:24" ht="24" customHeight="1" x14ac:dyDescent="0.25">
      <c r="A31" s="188" t="s">
        <v>106</v>
      </c>
      <c r="B31" s="39"/>
      <c r="C31" s="121"/>
      <c r="D31" s="121"/>
      <c r="E31" s="56"/>
      <c r="F31" s="79"/>
      <c r="G31" s="79"/>
      <c r="H31" s="120"/>
      <c r="J31" s="25"/>
      <c r="K31" s="14"/>
      <c r="L31" s="25"/>
      <c r="M31" s="65"/>
      <c r="N31" s="66"/>
      <c r="O31" s="66"/>
      <c r="P31" s="66"/>
      <c r="Q31" s="66"/>
      <c r="R31" s="66"/>
      <c r="S31" s="3"/>
    </row>
    <row r="32" spans="1:24" ht="24" customHeight="1" x14ac:dyDescent="0.25">
      <c r="A32" s="26" t="s">
        <v>99</v>
      </c>
      <c r="B32" s="39"/>
      <c r="C32" s="67"/>
      <c r="D32" s="100">
        <f>(B32*10)+C32</f>
        <v>0</v>
      </c>
      <c r="E32" s="124">
        <f>D32+(($B$31*2)+(B96*3)+(B94*3)+(B92*3))</f>
        <v>0</v>
      </c>
      <c r="F32" s="79"/>
      <c r="G32" s="119">
        <v>299</v>
      </c>
      <c r="H32" s="106">
        <f>G32-E32</f>
        <v>299</v>
      </c>
      <c r="J32" s="25"/>
      <c r="K32" s="14"/>
      <c r="L32" s="25"/>
      <c r="M32" s="65"/>
      <c r="N32" s="66"/>
      <c r="O32" s="66"/>
      <c r="P32" s="66"/>
      <c r="Q32" s="66"/>
      <c r="R32" s="66"/>
      <c r="S32" s="3"/>
    </row>
    <row r="33" spans="1:19" ht="24" customHeight="1" x14ac:dyDescent="0.25">
      <c r="A33" s="26" t="s">
        <v>100</v>
      </c>
      <c r="B33" s="39"/>
      <c r="C33" s="67"/>
      <c r="D33" s="100">
        <f t="shared" ref="D33:D36" si="12">(B33*10)+C33</f>
        <v>0</v>
      </c>
      <c r="E33" s="124">
        <f>D33+(($B$31*2)+(B96*1)+(B94*1)+(B92*1))</f>
        <v>0</v>
      </c>
      <c r="F33" s="79"/>
      <c r="G33" s="119">
        <v>76</v>
      </c>
      <c r="H33" s="106">
        <f>G33-E33</f>
        <v>76</v>
      </c>
      <c r="J33" s="25"/>
      <c r="K33" s="14"/>
      <c r="L33" s="25"/>
      <c r="M33" s="65"/>
      <c r="N33" s="66"/>
      <c r="O33" s="66"/>
      <c r="P33" s="66"/>
      <c r="Q33" s="66"/>
      <c r="R33" s="66"/>
      <c r="S33" s="3"/>
    </row>
    <row r="34" spans="1:19" ht="24" customHeight="1" x14ac:dyDescent="0.25">
      <c r="A34" s="26" t="s">
        <v>102</v>
      </c>
      <c r="B34" s="39"/>
      <c r="C34" s="67"/>
      <c r="D34" s="100">
        <f>(B34*10)+C34</f>
        <v>0</v>
      </c>
      <c r="E34" s="124">
        <f>D34+(($B$31*2)+(B96*1)+(B94*1)+(B92*1))</f>
        <v>0</v>
      </c>
      <c r="F34" s="79"/>
      <c r="G34" s="82">
        <v>81</v>
      </c>
      <c r="H34" s="106">
        <f>G34-E34</f>
        <v>81</v>
      </c>
      <c r="J34" s="25"/>
      <c r="K34" s="14"/>
      <c r="L34" s="25"/>
      <c r="M34" s="65"/>
      <c r="N34" s="66"/>
      <c r="O34" s="66"/>
      <c r="P34" s="66"/>
      <c r="Q34" s="66"/>
      <c r="R34" s="66"/>
      <c r="S34" s="3"/>
    </row>
    <row r="35" spans="1:19" ht="24" customHeight="1" x14ac:dyDescent="0.25">
      <c r="A35" s="26" t="s">
        <v>113</v>
      </c>
      <c r="B35" s="39"/>
      <c r="C35" s="67"/>
      <c r="D35" s="100">
        <f t="shared" si="12"/>
        <v>0</v>
      </c>
      <c r="E35" s="124">
        <f>D35+($B$31*2)</f>
        <v>0</v>
      </c>
      <c r="F35" s="79"/>
      <c r="G35" s="82">
        <v>99</v>
      </c>
      <c r="H35" s="106">
        <f t="shared" ref="H35:H36" si="13">G35-E35</f>
        <v>99</v>
      </c>
      <c r="J35" s="25"/>
      <c r="K35" s="14"/>
      <c r="L35" s="25"/>
      <c r="M35" s="65"/>
      <c r="N35" s="66"/>
      <c r="O35" s="66"/>
      <c r="P35" s="66"/>
      <c r="Q35" s="66"/>
      <c r="R35" s="66"/>
      <c r="S35" s="3"/>
    </row>
    <row r="36" spans="1:19" ht="24" customHeight="1" x14ac:dyDescent="0.25">
      <c r="A36" s="26" t="s">
        <v>114</v>
      </c>
      <c r="B36" s="39"/>
      <c r="C36" s="67"/>
      <c r="D36" s="100">
        <f t="shared" si="12"/>
        <v>0</v>
      </c>
      <c r="E36" s="124">
        <f>D36+($B$31*2)</f>
        <v>0</v>
      </c>
      <c r="F36" s="79"/>
      <c r="G36" s="82">
        <v>94</v>
      </c>
      <c r="H36" s="106">
        <f t="shared" si="13"/>
        <v>94</v>
      </c>
      <c r="J36" s="25"/>
      <c r="K36" s="14"/>
      <c r="L36" s="25"/>
      <c r="M36" s="65"/>
      <c r="N36" s="66"/>
      <c r="O36" s="66"/>
      <c r="P36" s="66"/>
      <c r="Q36" s="66"/>
      <c r="R36" s="66"/>
    </row>
    <row r="37" spans="1:19" ht="24" customHeight="1" thickBot="1" x14ac:dyDescent="0.3">
      <c r="A37" s="26" t="s">
        <v>101</v>
      </c>
      <c r="B37" s="39"/>
      <c r="C37" s="67"/>
      <c r="D37" s="100">
        <f t="shared" ref="D37" si="14">(B37*10)+C37</f>
        <v>0</v>
      </c>
      <c r="E37" s="124">
        <f>(B37*10)+C37</f>
        <v>0</v>
      </c>
      <c r="F37" s="79"/>
      <c r="G37" s="82">
        <v>106</v>
      </c>
      <c r="H37" s="106">
        <f t="shared" ref="H37" si="15">G37-E37</f>
        <v>106</v>
      </c>
      <c r="J37" s="25"/>
      <c r="K37" s="14"/>
      <c r="L37" s="25"/>
      <c r="M37" s="65"/>
      <c r="N37" s="66"/>
      <c r="O37" s="66"/>
      <c r="P37" s="66"/>
      <c r="Q37" s="66"/>
      <c r="R37" s="66"/>
    </row>
    <row r="38" spans="1:19" ht="24" customHeight="1" thickBot="1" x14ac:dyDescent="0.3">
      <c r="A38" s="230" t="s">
        <v>22</v>
      </c>
      <c r="B38" s="231"/>
      <c r="C38" s="231"/>
      <c r="D38" s="231"/>
      <c r="E38" s="231"/>
      <c r="F38" s="231"/>
      <c r="G38" s="231"/>
      <c r="H38" s="232"/>
      <c r="J38" s="25"/>
      <c r="K38" s="14"/>
      <c r="L38" s="25"/>
      <c r="M38" s="65"/>
      <c r="N38" s="66"/>
      <c r="O38" s="66"/>
      <c r="P38" s="66"/>
      <c r="Q38" s="66"/>
      <c r="R38" s="66"/>
    </row>
    <row r="39" spans="1:19" ht="24" customHeight="1" x14ac:dyDescent="0.25">
      <c r="A39" s="83"/>
      <c r="B39" s="39" t="s">
        <v>26</v>
      </c>
      <c r="C39" s="40" t="s">
        <v>25</v>
      </c>
      <c r="D39" s="85"/>
      <c r="E39" s="77" t="s">
        <v>28</v>
      </c>
      <c r="F39" s="78" t="s">
        <v>29</v>
      </c>
      <c r="G39" s="84" t="s">
        <v>65</v>
      </c>
      <c r="H39" s="84" t="s">
        <v>66</v>
      </c>
      <c r="J39" s="25"/>
      <c r="K39" s="14"/>
      <c r="L39" s="25"/>
      <c r="M39" s="65"/>
      <c r="N39" s="66"/>
      <c r="O39" s="66"/>
      <c r="P39" s="66"/>
      <c r="Q39" s="66"/>
      <c r="R39" s="66"/>
    </row>
    <row r="40" spans="1:19" ht="24" customHeight="1" x14ac:dyDescent="0.25">
      <c r="A40" s="31" t="s">
        <v>32</v>
      </c>
      <c r="B40" s="42">
        <v>1</v>
      </c>
      <c r="C40" s="43"/>
      <c r="D40" s="60"/>
      <c r="E40" s="86">
        <v>1</v>
      </c>
      <c r="F40" s="82"/>
      <c r="G40" s="107">
        <f>E40-B40</f>
        <v>0</v>
      </c>
      <c r="H40" s="107">
        <f>F40-C40</f>
        <v>0</v>
      </c>
      <c r="J40" s="25"/>
      <c r="K40" s="14"/>
      <c r="L40" s="25"/>
      <c r="M40" s="65"/>
      <c r="N40" s="66"/>
      <c r="O40" s="66"/>
      <c r="P40" s="66"/>
      <c r="Q40" s="66"/>
      <c r="R40" s="66"/>
    </row>
    <row r="41" spans="1:19" ht="24" customHeight="1" x14ac:dyDescent="0.25">
      <c r="A41" s="31" t="s">
        <v>33</v>
      </c>
      <c r="B41" s="42"/>
      <c r="C41" s="43"/>
      <c r="D41" s="60"/>
      <c r="E41" s="86"/>
      <c r="F41" s="82">
        <v>1</v>
      </c>
      <c r="G41" s="107">
        <f t="shared" ref="G41:H48" si="16">E41-B41</f>
        <v>0</v>
      </c>
      <c r="H41" s="107">
        <f t="shared" si="16"/>
        <v>1</v>
      </c>
      <c r="J41" s="25"/>
      <c r="K41" s="14"/>
      <c r="L41" s="25"/>
      <c r="M41" s="65"/>
      <c r="N41" s="66"/>
      <c r="O41" s="66"/>
      <c r="P41" s="66"/>
      <c r="Q41" s="66"/>
      <c r="R41" s="66"/>
    </row>
    <row r="42" spans="1:19" ht="24" customHeight="1" x14ac:dyDescent="0.25">
      <c r="A42" s="31" t="s">
        <v>34</v>
      </c>
      <c r="B42" s="42"/>
      <c r="C42" s="43"/>
      <c r="D42" s="60"/>
      <c r="E42" s="86"/>
      <c r="F42" s="82"/>
      <c r="G42" s="107">
        <f t="shared" si="16"/>
        <v>0</v>
      </c>
      <c r="H42" s="107">
        <f t="shared" si="16"/>
        <v>0</v>
      </c>
    </row>
    <row r="43" spans="1:19" ht="24" customHeight="1" x14ac:dyDescent="0.25">
      <c r="A43" s="31" t="s">
        <v>35</v>
      </c>
      <c r="B43" s="42"/>
      <c r="C43" s="43"/>
      <c r="D43" s="60"/>
      <c r="E43" s="86"/>
      <c r="F43" s="82"/>
      <c r="G43" s="107">
        <f t="shared" si="16"/>
        <v>0</v>
      </c>
      <c r="H43" s="107">
        <f t="shared" si="16"/>
        <v>0</v>
      </c>
    </row>
    <row r="44" spans="1:19" ht="24" customHeight="1" x14ac:dyDescent="0.25">
      <c r="A44" s="31" t="s">
        <v>36</v>
      </c>
      <c r="B44" s="42"/>
      <c r="C44" s="43"/>
      <c r="D44" s="60"/>
      <c r="E44" s="86"/>
      <c r="F44" s="82"/>
      <c r="G44" s="107">
        <f t="shared" si="16"/>
        <v>0</v>
      </c>
      <c r="H44" s="107">
        <f t="shared" si="16"/>
        <v>0</v>
      </c>
    </row>
    <row r="45" spans="1:19" ht="24" customHeight="1" x14ac:dyDescent="0.25">
      <c r="A45" s="55" t="s">
        <v>37</v>
      </c>
      <c r="B45" s="39"/>
      <c r="C45" s="56"/>
      <c r="D45" s="56"/>
      <c r="E45" s="77">
        <v>4</v>
      </c>
      <c r="F45" s="56"/>
      <c r="G45" s="106">
        <f t="shared" si="16"/>
        <v>4</v>
      </c>
      <c r="H45" s="108"/>
    </row>
    <row r="46" spans="1:19" ht="24" customHeight="1" x14ac:dyDescent="0.25">
      <c r="A46" s="59" t="s">
        <v>38</v>
      </c>
      <c r="B46" s="42">
        <v>1</v>
      </c>
      <c r="C46" s="60"/>
      <c r="D46" s="60"/>
      <c r="E46" s="86">
        <v>4</v>
      </c>
      <c r="F46" s="60"/>
      <c r="G46" s="107">
        <f t="shared" si="16"/>
        <v>3</v>
      </c>
      <c r="H46" s="109"/>
    </row>
    <row r="47" spans="1:19" ht="24" customHeight="1" x14ac:dyDescent="0.25">
      <c r="A47" s="59" t="s">
        <v>39</v>
      </c>
      <c r="B47" s="42"/>
      <c r="C47" s="60"/>
      <c r="D47" s="60"/>
      <c r="E47" s="86">
        <v>10</v>
      </c>
      <c r="F47" s="60"/>
      <c r="G47" s="107">
        <f t="shared" si="16"/>
        <v>10</v>
      </c>
      <c r="H47" s="109"/>
    </row>
    <row r="48" spans="1:19" ht="24" customHeight="1" x14ac:dyDescent="0.25">
      <c r="A48" s="59" t="s">
        <v>40</v>
      </c>
      <c r="B48" s="42"/>
      <c r="C48" s="60"/>
      <c r="D48" s="60"/>
      <c r="E48" s="86">
        <v>14</v>
      </c>
      <c r="F48" s="60"/>
      <c r="G48" s="107">
        <f t="shared" si="16"/>
        <v>14</v>
      </c>
      <c r="H48" s="109"/>
    </row>
    <row r="49" spans="1:8" ht="24" customHeight="1" thickBot="1" x14ac:dyDescent="0.3">
      <c r="A49" s="62" t="s">
        <v>41</v>
      </c>
      <c r="B49" s="87">
        <v>12</v>
      </c>
      <c r="C49" s="63"/>
      <c r="D49" s="63"/>
      <c r="E49" s="88">
        <v>9</v>
      </c>
      <c r="F49" s="63"/>
      <c r="G49" s="110">
        <f>E49-B49</f>
        <v>-3</v>
      </c>
      <c r="H49" s="104"/>
    </row>
    <row r="50" spans="1:8" ht="24" customHeight="1" x14ac:dyDescent="0.25">
      <c r="A50" s="240" t="s">
        <v>21</v>
      </c>
      <c r="B50" s="241"/>
      <c r="C50" s="241"/>
      <c r="D50" s="241"/>
      <c r="E50" s="241"/>
      <c r="F50" s="241"/>
      <c r="G50" s="241"/>
      <c r="H50" s="242"/>
    </row>
    <row r="51" spans="1:8" ht="24" customHeight="1" x14ac:dyDescent="0.25">
      <c r="A51" s="70"/>
      <c r="B51" s="71" t="s">
        <v>93</v>
      </c>
      <c r="C51" s="72" t="s">
        <v>92</v>
      </c>
      <c r="D51" s="73"/>
      <c r="E51" s="74" t="s">
        <v>94</v>
      </c>
      <c r="F51" s="75" t="s">
        <v>95</v>
      </c>
      <c r="G51" s="76" t="s">
        <v>107</v>
      </c>
      <c r="H51" s="76" t="s">
        <v>96</v>
      </c>
    </row>
    <row r="52" spans="1:8" ht="24" customHeight="1" x14ac:dyDescent="0.25">
      <c r="A52" s="53" t="s">
        <v>200</v>
      </c>
      <c r="B52" s="39"/>
      <c r="C52" s="43"/>
      <c r="D52" s="56"/>
      <c r="E52" s="77"/>
      <c r="F52" s="78">
        <v>70</v>
      </c>
      <c r="G52" s="106">
        <f>(E52-B52)-(B91*1)</f>
        <v>0</v>
      </c>
      <c r="H52" s="106">
        <f>F52-C52</f>
        <v>70</v>
      </c>
    </row>
    <row r="53" spans="1:8" ht="24" customHeight="1" x14ac:dyDescent="0.25">
      <c r="A53" s="117" t="s">
        <v>14</v>
      </c>
      <c r="B53" s="68"/>
      <c r="C53" s="40">
        <v>2</v>
      </c>
      <c r="D53" s="79"/>
      <c r="E53" s="77"/>
      <c r="F53" s="80">
        <v>37</v>
      </c>
      <c r="G53" s="107">
        <f>(E53-B53)-(B91*1)</f>
        <v>0</v>
      </c>
      <c r="H53" s="106">
        <f t="shared" ref="H53" si="17">F53-C53</f>
        <v>35</v>
      </c>
    </row>
    <row r="54" spans="1:8" ht="24" customHeight="1" thickBot="1" x14ac:dyDescent="0.3">
      <c r="A54" s="31" t="s">
        <v>105</v>
      </c>
      <c r="B54" s="42"/>
      <c r="C54" s="60"/>
      <c r="D54" s="60"/>
      <c r="E54" s="86"/>
      <c r="F54" s="60"/>
      <c r="G54" s="106">
        <f>(E54-B54)</f>
        <v>0</v>
      </c>
      <c r="H54" s="118"/>
    </row>
    <row r="55" spans="1:8" ht="24" customHeight="1" thickBot="1" x14ac:dyDescent="0.3">
      <c r="A55" s="230" t="s">
        <v>23</v>
      </c>
      <c r="B55" s="231"/>
      <c r="C55" s="231"/>
      <c r="D55" s="231"/>
      <c r="E55" s="231"/>
      <c r="F55" s="231"/>
      <c r="G55" s="231"/>
      <c r="H55" s="232"/>
    </row>
    <row r="56" spans="1:8" ht="24" customHeight="1" x14ac:dyDescent="0.25">
      <c r="A56" s="83"/>
      <c r="B56" s="39" t="s">
        <v>26</v>
      </c>
      <c r="C56" s="40" t="s">
        <v>25</v>
      </c>
      <c r="D56" s="85"/>
      <c r="E56" s="77" t="s">
        <v>28</v>
      </c>
      <c r="F56" s="78" t="s">
        <v>29</v>
      </c>
      <c r="G56" s="84" t="s">
        <v>65</v>
      </c>
      <c r="H56" s="84" t="s">
        <v>66</v>
      </c>
    </row>
    <row r="57" spans="1:8" ht="24" customHeight="1" x14ac:dyDescent="0.25">
      <c r="A57" s="31" t="s">
        <v>71</v>
      </c>
      <c r="B57" s="42"/>
      <c r="C57" s="43">
        <v>4</v>
      </c>
      <c r="D57" s="60"/>
      <c r="E57" s="86">
        <v>50</v>
      </c>
      <c r="F57" s="82">
        <v>58</v>
      </c>
      <c r="G57" s="107">
        <f>E57-B57-B82</f>
        <v>50</v>
      </c>
      <c r="H57" s="107">
        <f>F57-C57</f>
        <v>54</v>
      </c>
    </row>
    <row r="58" spans="1:8" ht="24" customHeight="1" x14ac:dyDescent="0.25">
      <c r="A58" s="31" t="s">
        <v>47</v>
      </c>
      <c r="B58" s="42">
        <v>2</v>
      </c>
      <c r="C58" s="43">
        <v>34</v>
      </c>
      <c r="D58" s="60"/>
      <c r="E58" s="86">
        <v>44</v>
      </c>
      <c r="F58" s="82">
        <v>41</v>
      </c>
      <c r="G58" s="107">
        <f>E58-B58</f>
        <v>42</v>
      </c>
      <c r="H58" s="107">
        <f>F58-C58</f>
        <v>7</v>
      </c>
    </row>
    <row r="59" spans="1:8" ht="24" customHeight="1" x14ac:dyDescent="0.25">
      <c r="A59" s="31" t="s">
        <v>70</v>
      </c>
      <c r="B59" s="42"/>
      <c r="C59" s="43">
        <v>3</v>
      </c>
      <c r="D59" s="60"/>
      <c r="E59" s="86">
        <v>54</v>
      </c>
      <c r="F59" s="82">
        <v>69</v>
      </c>
      <c r="G59" s="107">
        <f>E59-B59</f>
        <v>54</v>
      </c>
      <c r="H59" s="107">
        <f>F59-C59</f>
        <v>66</v>
      </c>
    </row>
    <row r="60" spans="1:8" ht="24" customHeight="1" x14ac:dyDescent="0.25">
      <c r="A60" s="31" t="s">
        <v>48</v>
      </c>
      <c r="B60" s="42">
        <v>1</v>
      </c>
      <c r="C60" s="43">
        <v>4</v>
      </c>
      <c r="D60" s="60"/>
      <c r="E60" s="86">
        <v>53</v>
      </c>
      <c r="F60" s="82">
        <v>89</v>
      </c>
      <c r="G60" s="107">
        <f t="shared" ref="G60:G76" si="18">E60-B60</f>
        <v>52</v>
      </c>
      <c r="H60" s="107">
        <f>F60-C60</f>
        <v>85</v>
      </c>
    </row>
    <row r="61" spans="1:8" ht="24" customHeight="1" thickBot="1" x14ac:dyDescent="0.3">
      <c r="A61" s="35" t="s">
        <v>52</v>
      </c>
      <c r="B61" s="42">
        <v>1</v>
      </c>
      <c r="C61" s="43"/>
      <c r="D61" s="60"/>
      <c r="E61" s="86">
        <v>27</v>
      </c>
      <c r="F61" s="82">
        <v>30</v>
      </c>
      <c r="G61" s="107">
        <f>E61-B61</f>
        <v>26</v>
      </c>
      <c r="H61" s="107">
        <f>F61-C61</f>
        <v>30</v>
      </c>
    </row>
    <row r="62" spans="1:8" ht="24" customHeight="1" x14ac:dyDescent="0.25">
      <c r="A62" s="31" t="s">
        <v>50</v>
      </c>
      <c r="B62" s="42">
        <v>1</v>
      </c>
      <c r="C62" s="43">
        <v>2</v>
      </c>
      <c r="D62" s="60"/>
      <c r="E62" s="86">
        <v>30</v>
      </c>
      <c r="F62" s="82">
        <v>18</v>
      </c>
      <c r="G62" s="107">
        <f t="shared" si="18"/>
        <v>29</v>
      </c>
      <c r="H62" s="107">
        <f t="shared" ref="H62:H63" si="19">F62-C62</f>
        <v>16</v>
      </c>
    </row>
    <row r="63" spans="1:8" ht="24" customHeight="1" x14ac:dyDescent="0.25">
      <c r="A63" s="31" t="s">
        <v>51</v>
      </c>
      <c r="B63" s="42"/>
      <c r="C63" s="43"/>
      <c r="D63" s="60"/>
      <c r="E63" s="86">
        <v>35</v>
      </c>
      <c r="F63" s="82">
        <v>46</v>
      </c>
      <c r="G63" s="107">
        <f t="shared" si="18"/>
        <v>35</v>
      </c>
      <c r="H63" s="107">
        <f t="shared" si="19"/>
        <v>46</v>
      </c>
    </row>
    <row r="64" spans="1:8" ht="24" customHeight="1" x14ac:dyDescent="0.25">
      <c r="A64" s="31" t="s">
        <v>115</v>
      </c>
      <c r="B64" s="39"/>
      <c r="C64" s="40"/>
      <c r="D64" s="56"/>
      <c r="E64" s="77">
        <v>13</v>
      </c>
      <c r="F64" s="78">
        <v>15</v>
      </c>
      <c r="G64" s="107">
        <f t="shared" ref="G64" si="20">E64-B64</f>
        <v>13</v>
      </c>
      <c r="H64" s="107">
        <f t="shared" ref="H64" si="21">F64-C64</f>
        <v>15</v>
      </c>
    </row>
    <row r="65" spans="1:8" ht="24" customHeight="1" x14ac:dyDescent="0.25">
      <c r="A65" s="53" t="s">
        <v>69</v>
      </c>
      <c r="B65" s="42">
        <v>2</v>
      </c>
      <c r="C65" s="60"/>
      <c r="D65" s="60"/>
      <c r="E65" s="86">
        <v>50</v>
      </c>
      <c r="F65" s="60"/>
      <c r="G65" s="107">
        <f>E65-B65</f>
        <v>48</v>
      </c>
      <c r="H65" s="109"/>
    </row>
    <row r="66" spans="1:8" ht="24" customHeight="1" thickBot="1" x14ac:dyDescent="0.3">
      <c r="A66" s="91" t="s">
        <v>55</v>
      </c>
      <c r="B66" s="92">
        <v>3</v>
      </c>
      <c r="C66" s="60"/>
      <c r="D66" s="60"/>
      <c r="E66" s="86">
        <v>68</v>
      </c>
      <c r="F66" s="81"/>
      <c r="G66" s="107">
        <f t="shared" si="18"/>
        <v>65</v>
      </c>
      <c r="H66" s="111"/>
    </row>
    <row r="67" spans="1:8" ht="24" customHeight="1" x14ac:dyDescent="0.25">
      <c r="A67" s="89" t="s">
        <v>53</v>
      </c>
      <c r="B67" s="90"/>
      <c r="C67" s="40">
        <v>2</v>
      </c>
      <c r="D67" s="56"/>
      <c r="E67" s="77">
        <v>45</v>
      </c>
      <c r="F67" s="78">
        <v>32</v>
      </c>
      <c r="G67" s="106">
        <f>E67-B67</f>
        <v>45</v>
      </c>
      <c r="H67" s="106">
        <f>F67-C67</f>
        <v>30</v>
      </c>
    </row>
    <row r="68" spans="1:8" ht="24" customHeight="1" thickBot="1" x14ac:dyDescent="0.3">
      <c r="A68" s="91" t="s">
        <v>57</v>
      </c>
      <c r="B68" s="92">
        <v>1</v>
      </c>
      <c r="C68" s="60"/>
      <c r="D68" s="60"/>
      <c r="E68" s="86">
        <v>38</v>
      </c>
      <c r="F68" s="81"/>
      <c r="G68" s="107">
        <f>E68-B68</f>
        <v>37</v>
      </c>
      <c r="H68" s="111"/>
    </row>
    <row r="69" spans="1:8" ht="24" customHeight="1" thickBot="1" x14ac:dyDescent="0.3">
      <c r="A69" s="91" t="s">
        <v>54</v>
      </c>
      <c r="B69" s="92">
        <v>2</v>
      </c>
      <c r="C69" s="60"/>
      <c r="D69" s="60"/>
      <c r="E69" s="86">
        <v>65</v>
      </c>
      <c r="F69" s="81"/>
      <c r="G69" s="107">
        <f>E69-B69</f>
        <v>63</v>
      </c>
      <c r="H69" s="111"/>
    </row>
    <row r="70" spans="1:8" ht="24" customHeight="1" thickBot="1" x14ac:dyDescent="0.3">
      <c r="A70" s="91" t="s">
        <v>56</v>
      </c>
      <c r="B70" s="92">
        <v>4</v>
      </c>
      <c r="C70" s="60"/>
      <c r="D70" s="60"/>
      <c r="E70" s="86">
        <v>45</v>
      </c>
      <c r="F70" s="81"/>
      <c r="G70" s="107">
        <f t="shared" si="18"/>
        <v>41</v>
      </c>
      <c r="H70" s="111"/>
    </row>
    <row r="71" spans="1:8" ht="24" customHeight="1" x14ac:dyDescent="0.25">
      <c r="A71" s="26" t="s">
        <v>72</v>
      </c>
      <c r="B71" s="42">
        <v>2</v>
      </c>
      <c r="C71" s="40">
        <v>2</v>
      </c>
      <c r="D71" s="60"/>
      <c r="E71" s="86">
        <v>30</v>
      </c>
      <c r="F71" s="78">
        <v>32</v>
      </c>
      <c r="G71" s="107">
        <f t="shared" ref="G71:G75" si="22">E71-B71</f>
        <v>28</v>
      </c>
      <c r="H71" s="106">
        <f>F71-C71</f>
        <v>30</v>
      </c>
    </row>
    <row r="72" spans="1:8" ht="24" customHeight="1" x14ac:dyDescent="0.25">
      <c r="A72" s="31" t="s">
        <v>58</v>
      </c>
      <c r="B72" s="42">
        <v>4</v>
      </c>
      <c r="C72" s="40">
        <v>2</v>
      </c>
      <c r="D72" s="60"/>
      <c r="E72" s="86">
        <v>26</v>
      </c>
      <c r="F72" s="78">
        <v>34</v>
      </c>
      <c r="G72" s="107">
        <f t="shared" si="22"/>
        <v>22</v>
      </c>
      <c r="H72" s="106">
        <f>F72-C72</f>
        <v>32</v>
      </c>
    </row>
    <row r="73" spans="1:8" ht="24" customHeight="1" thickBot="1" x14ac:dyDescent="0.3">
      <c r="A73" s="31" t="s">
        <v>61</v>
      </c>
      <c r="B73" s="42"/>
      <c r="C73" s="60"/>
      <c r="D73" s="60"/>
      <c r="E73" s="86">
        <v>30</v>
      </c>
      <c r="F73" s="81"/>
      <c r="G73" s="107">
        <f>E73-B73</f>
        <v>30</v>
      </c>
      <c r="H73" s="111"/>
    </row>
    <row r="74" spans="1:8" ht="24" customHeight="1" thickBot="1" x14ac:dyDescent="0.3">
      <c r="A74" s="31" t="s">
        <v>60</v>
      </c>
      <c r="B74" s="39">
        <v>2</v>
      </c>
      <c r="C74" s="60"/>
      <c r="D74" s="56"/>
      <c r="E74" s="77">
        <v>45</v>
      </c>
      <c r="F74" s="81"/>
      <c r="G74" s="106">
        <f>E74-B74</f>
        <v>43</v>
      </c>
      <c r="H74" s="111"/>
    </row>
    <row r="75" spans="1:8" ht="24" customHeight="1" thickBot="1" x14ac:dyDescent="0.3">
      <c r="A75" s="31" t="s">
        <v>59</v>
      </c>
      <c r="B75" s="50">
        <v>1</v>
      </c>
      <c r="C75" s="60"/>
      <c r="D75" s="81"/>
      <c r="E75" s="93">
        <v>39</v>
      </c>
      <c r="F75" s="81"/>
      <c r="G75" s="107">
        <f t="shared" si="22"/>
        <v>38</v>
      </c>
      <c r="H75" s="111"/>
    </row>
    <row r="76" spans="1:8" ht="24" customHeight="1" x14ac:dyDescent="0.25">
      <c r="A76" s="31" t="s">
        <v>62</v>
      </c>
      <c r="B76" s="42">
        <v>2</v>
      </c>
      <c r="C76" s="60"/>
      <c r="D76" s="60"/>
      <c r="E76" s="86">
        <v>36</v>
      </c>
      <c r="F76" s="60"/>
      <c r="G76" s="107">
        <f t="shared" si="18"/>
        <v>34</v>
      </c>
      <c r="H76" s="109"/>
    </row>
    <row r="77" spans="1:8" ht="24" customHeight="1" x14ac:dyDescent="0.25">
      <c r="A77" s="31" t="s">
        <v>244</v>
      </c>
      <c r="B77" s="42">
        <v>3</v>
      </c>
      <c r="C77" s="60"/>
      <c r="D77" s="60"/>
      <c r="E77" s="86">
        <v>193</v>
      </c>
      <c r="F77" s="60"/>
      <c r="G77" s="107">
        <f t="shared" ref="G77:G82" si="23">E77-B77</f>
        <v>190</v>
      </c>
      <c r="H77" s="109"/>
    </row>
    <row r="78" spans="1:8" ht="24" customHeight="1" x14ac:dyDescent="0.25">
      <c r="A78" s="31"/>
      <c r="B78" s="42"/>
      <c r="C78" s="60"/>
      <c r="D78" s="60"/>
      <c r="E78" s="86"/>
      <c r="F78" s="60"/>
      <c r="G78" s="107">
        <f t="shared" si="23"/>
        <v>0</v>
      </c>
      <c r="H78" s="109"/>
    </row>
    <row r="79" spans="1:8" ht="24" customHeight="1" x14ac:dyDescent="0.25">
      <c r="A79" s="31"/>
      <c r="B79" s="42"/>
      <c r="C79" s="60"/>
      <c r="D79" s="60"/>
      <c r="E79" s="86"/>
      <c r="F79" s="60"/>
      <c r="G79" s="107">
        <f t="shared" si="23"/>
        <v>0</v>
      </c>
      <c r="H79" s="109"/>
    </row>
    <row r="80" spans="1:8" ht="24" customHeight="1" x14ac:dyDescent="0.25">
      <c r="A80" s="31"/>
      <c r="B80" s="42"/>
      <c r="C80" s="60"/>
      <c r="D80" s="60"/>
      <c r="E80" s="86"/>
      <c r="F80" s="60"/>
      <c r="G80" s="107">
        <f t="shared" si="23"/>
        <v>0</v>
      </c>
      <c r="H80" s="109"/>
    </row>
    <row r="81" spans="1:13" ht="24" customHeight="1" thickBot="1" x14ac:dyDescent="0.3">
      <c r="A81" s="31"/>
      <c r="B81" s="42"/>
      <c r="C81" s="43"/>
      <c r="D81" s="60"/>
      <c r="E81" s="86"/>
      <c r="F81" s="81"/>
      <c r="G81" s="107">
        <f t="shared" si="23"/>
        <v>0</v>
      </c>
      <c r="H81" s="107">
        <f t="shared" ref="H81" si="24">F81-C81</f>
        <v>0</v>
      </c>
    </row>
    <row r="82" spans="1:13" ht="24" customHeight="1" thickBot="1" x14ac:dyDescent="0.3">
      <c r="A82" s="31"/>
      <c r="B82" s="42"/>
      <c r="C82" s="43"/>
      <c r="D82" s="60"/>
      <c r="E82" s="86"/>
      <c r="F82" s="81"/>
      <c r="G82" s="107">
        <f t="shared" si="23"/>
        <v>0</v>
      </c>
      <c r="H82" s="107">
        <f>F82-C82</f>
        <v>0</v>
      </c>
    </row>
    <row r="83" spans="1:13" ht="24" customHeight="1" thickBot="1" x14ac:dyDescent="0.3">
      <c r="A83" s="230" t="s">
        <v>42</v>
      </c>
      <c r="B83" s="231"/>
      <c r="C83" s="231"/>
      <c r="D83" s="231"/>
      <c r="E83" s="231"/>
      <c r="F83" s="231"/>
      <c r="G83" s="231"/>
      <c r="H83" s="232"/>
      <c r="M83" s="94"/>
    </row>
    <row r="84" spans="1:13" ht="24" customHeight="1" x14ac:dyDescent="0.25">
      <c r="A84" s="26" t="s">
        <v>110</v>
      </c>
      <c r="B84" s="39"/>
      <c r="C84" s="56"/>
      <c r="D84" s="56"/>
      <c r="E84" s="56"/>
      <c r="F84" s="56"/>
      <c r="G84" s="95"/>
      <c r="H84" s="95"/>
      <c r="M84" s="94"/>
    </row>
    <row r="85" spans="1:13" ht="24" customHeight="1" x14ac:dyDescent="0.25">
      <c r="A85" s="31" t="s">
        <v>43</v>
      </c>
      <c r="B85" s="42"/>
      <c r="C85" s="60"/>
      <c r="D85" s="60"/>
      <c r="E85" s="60"/>
      <c r="F85" s="60"/>
      <c r="G85" s="96"/>
      <c r="H85" s="96"/>
      <c r="M85" s="94"/>
    </row>
    <row r="86" spans="1:13" ht="24" customHeight="1" x14ac:dyDescent="0.25">
      <c r="A86" s="31" t="s">
        <v>44</v>
      </c>
      <c r="B86" s="42">
        <v>1</v>
      </c>
      <c r="C86" s="60"/>
      <c r="D86" s="60"/>
      <c r="E86" s="60"/>
      <c r="F86" s="60"/>
      <c r="G86" s="96"/>
      <c r="H86" s="96"/>
      <c r="M86" s="94"/>
    </row>
    <row r="87" spans="1:13" ht="24" customHeight="1" x14ac:dyDescent="0.25">
      <c r="A87" s="31" t="s">
        <v>45</v>
      </c>
      <c r="B87" s="42"/>
      <c r="C87" s="60"/>
      <c r="D87" s="60"/>
      <c r="E87" s="60"/>
      <c r="F87" s="60"/>
      <c r="G87" s="96"/>
      <c r="H87" s="96"/>
      <c r="M87" s="94"/>
    </row>
    <row r="88" spans="1:13" ht="24" customHeight="1" x14ac:dyDescent="0.25">
      <c r="A88" s="31" t="s">
        <v>67</v>
      </c>
      <c r="B88" s="42"/>
      <c r="C88" s="60"/>
      <c r="D88" s="60"/>
      <c r="E88" s="60"/>
      <c r="F88" s="60"/>
      <c r="G88" s="96"/>
      <c r="H88" s="96"/>
      <c r="M88" s="94"/>
    </row>
    <row r="89" spans="1:13" ht="24" customHeight="1" x14ac:dyDescent="0.25">
      <c r="A89" s="31" t="s">
        <v>85</v>
      </c>
      <c r="B89" s="42">
        <v>1</v>
      </c>
      <c r="C89" s="60"/>
      <c r="D89" s="60"/>
      <c r="E89" s="60"/>
      <c r="F89" s="60"/>
      <c r="G89" s="96"/>
      <c r="H89" s="96"/>
    </row>
    <row r="90" spans="1:13" ht="24" customHeight="1" x14ac:dyDescent="0.25">
      <c r="A90" s="31" t="s">
        <v>84</v>
      </c>
      <c r="B90" s="42"/>
      <c r="C90" s="60"/>
      <c r="D90" s="60"/>
      <c r="E90" s="60"/>
      <c r="F90" s="60"/>
      <c r="G90" s="96"/>
      <c r="H90" s="96"/>
    </row>
    <row r="91" spans="1:13" ht="24" customHeight="1" x14ac:dyDescent="0.25">
      <c r="A91" s="31" t="s">
        <v>97</v>
      </c>
      <c r="B91" s="42"/>
      <c r="C91" s="60"/>
      <c r="D91" s="60"/>
      <c r="E91" s="60"/>
      <c r="F91" s="60"/>
      <c r="G91" s="96"/>
      <c r="H91" s="96"/>
    </row>
    <row r="92" spans="1:13" ht="24" customHeight="1" x14ac:dyDescent="0.25">
      <c r="A92" s="31" t="s">
        <v>87</v>
      </c>
      <c r="B92" s="42"/>
      <c r="C92" s="60"/>
      <c r="D92" s="60"/>
      <c r="E92" s="60"/>
      <c r="F92" s="60"/>
      <c r="G92" s="96"/>
      <c r="H92" s="96"/>
    </row>
    <row r="93" spans="1:13" ht="24" customHeight="1" x14ac:dyDescent="0.25">
      <c r="A93" s="31" t="s">
        <v>86</v>
      </c>
      <c r="B93" s="42"/>
      <c r="C93" s="60"/>
      <c r="D93" s="60"/>
      <c r="E93" s="60"/>
      <c r="F93" s="60"/>
      <c r="G93" s="96"/>
      <c r="H93" s="96"/>
    </row>
    <row r="94" spans="1:13" ht="24" customHeight="1" x14ac:dyDescent="0.25">
      <c r="A94" s="31" t="s">
        <v>89</v>
      </c>
      <c r="B94" s="42"/>
      <c r="C94" s="60"/>
      <c r="D94" s="60"/>
      <c r="E94" s="60"/>
      <c r="F94" s="60"/>
      <c r="G94" s="96"/>
      <c r="H94" s="96"/>
    </row>
    <row r="95" spans="1:13" ht="24" customHeight="1" x14ac:dyDescent="0.25">
      <c r="A95" s="31" t="s">
        <v>88</v>
      </c>
      <c r="B95" s="42"/>
      <c r="C95" s="60"/>
      <c r="D95" s="60"/>
      <c r="E95" s="60"/>
      <c r="F95" s="60"/>
      <c r="G95" s="96"/>
      <c r="H95" s="96"/>
    </row>
    <row r="96" spans="1:13" ht="24" customHeight="1" x14ac:dyDescent="0.25">
      <c r="A96" s="31" t="s">
        <v>104</v>
      </c>
      <c r="B96" s="42"/>
      <c r="C96" s="60"/>
      <c r="D96" s="60"/>
      <c r="E96" s="60"/>
      <c r="F96" s="60"/>
      <c r="G96" s="96"/>
      <c r="H96" s="96"/>
    </row>
    <row r="97" spans="1:8" ht="24" customHeight="1" x14ac:dyDescent="0.25">
      <c r="A97" s="31" t="s">
        <v>116</v>
      </c>
      <c r="B97" s="42"/>
      <c r="C97" s="60"/>
      <c r="D97" s="60"/>
      <c r="E97" s="60"/>
      <c r="F97" s="60"/>
      <c r="G97" s="96"/>
      <c r="H97" s="96"/>
    </row>
    <row r="98" spans="1:8" ht="24" customHeight="1" x14ac:dyDescent="0.25">
      <c r="A98" s="31" t="s">
        <v>117</v>
      </c>
      <c r="B98" s="42"/>
      <c r="C98" s="60"/>
      <c r="D98" s="60"/>
      <c r="E98" s="60"/>
      <c r="F98" s="60"/>
      <c r="G98" s="96"/>
      <c r="H98" s="96"/>
    </row>
    <row r="99" spans="1:8" ht="24" customHeight="1" x14ac:dyDescent="0.25">
      <c r="A99" s="31" t="s">
        <v>118</v>
      </c>
      <c r="B99" s="42"/>
      <c r="C99" s="60"/>
      <c r="D99" s="60"/>
      <c r="E99" s="60"/>
      <c r="F99" s="60"/>
      <c r="G99" s="96"/>
      <c r="H99" s="96"/>
    </row>
    <row r="100" spans="1:8" ht="24" customHeight="1" x14ac:dyDescent="0.25">
      <c r="A100" s="31" t="s">
        <v>119</v>
      </c>
      <c r="B100" s="42"/>
      <c r="C100" s="60"/>
      <c r="D100" s="60"/>
      <c r="E100" s="60"/>
      <c r="F100" s="60"/>
      <c r="G100" s="96"/>
      <c r="H100" s="96"/>
    </row>
    <row r="101" spans="1:8" ht="24" customHeight="1" x14ac:dyDescent="0.25"/>
    <row r="102" spans="1:8" ht="24" customHeight="1" x14ac:dyDescent="0.25"/>
    <row r="103" spans="1:8" ht="24" customHeight="1" x14ac:dyDescent="0.25"/>
    <row r="104" spans="1:8" ht="24" customHeight="1" x14ac:dyDescent="0.25"/>
    <row r="105" spans="1:8" ht="24" customHeight="1" x14ac:dyDescent="0.25"/>
  </sheetData>
  <sheetProtection selectLockedCells="1"/>
  <mergeCells count="12">
    <mergeCell ref="J21:O21"/>
    <mergeCell ref="A1:H1"/>
    <mergeCell ref="D2:E2"/>
    <mergeCell ref="A50:H50"/>
    <mergeCell ref="A29:H29"/>
    <mergeCell ref="A83:H83"/>
    <mergeCell ref="A55:H55"/>
    <mergeCell ref="A4:H4"/>
    <mergeCell ref="A17:H17"/>
    <mergeCell ref="B2:C2"/>
    <mergeCell ref="A21:H21"/>
    <mergeCell ref="A38:H38"/>
  </mergeCells>
  <phoneticPr fontId="1" type="noConversion"/>
  <pageMargins left="0.19685039370078741" right="0.19685039370078741" top="0.19685039370078741" bottom="0.19685039370078741" header="0.51181102362204722" footer="0.51181102362204722"/>
  <pageSetup paperSize="9" scale="39" orientation="portrait" r:id="rId1"/>
  <ignoredErrors>
    <ignoredError sqref="D35 D32:D33 D36" unlockedFormula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97E7E9-8FA8-409C-AC20-456D2394FDCC}">
  <sheetPr>
    <pageSetUpPr fitToPage="1"/>
  </sheetPr>
  <dimension ref="A1:R70"/>
  <sheetViews>
    <sheetView tabSelected="1" topLeftCell="A14" zoomScale="115" zoomScaleNormal="115" workbookViewId="0">
      <selection activeCell="I64" sqref="I64"/>
    </sheetView>
  </sheetViews>
  <sheetFormatPr defaultColWidth="9" defaultRowHeight="16.5" x14ac:dyDescent="0.25"/>
  <cols>
    <col min="1" max="1" width="13.5" style="7" customWidth="1"/>
    <col min="2" max="2" width="14" style="143" customWidth="1"/>
    <col min="3" max="3" width="14.5" style="6" customWidth="1"/>
    <col min="4" max="4" width="7.375" style="144" customWidth="1"/>
    <col min="5" max="5" width="7.125" style="144" customWidth="1"/>
    <col min="6" max="6" width="7" style="4" customWidth="1"/>
    <col min="7" max="7" width="6.875" style="4" customWidth="1"/>
    <col min="8" max="8" width="7.25" style="4" customWidth="1"/>
    <col min="9" max="9" width="7.5" style="4" customWidth="1"/>
    <col min="10" max="10" width="8" style="4" customWidth="1"/>
    <col min="11" max="11" width="4.875" style="145" customWidth="1"/>
    <col min="12" max="12" width="4.125" style="1" customWidth="1"/>
    <col min="13" max="13" width="7" style="146" customWidth="1"/>
    <col min="14" max="14" width="3.125" style="1" customWidth="1"/>
    <col min="15" max="15" width="7.875" style="144" customWidth="1"/>
    <col min="16" max="16" width="3.5" style="1" customWidth="1"/>
    <col min="17" max="17" width="9" style="4"/>
    <col min="18" max="18" width="3.625" style="4" customWidth="1"/>
    <col min="19" max="16384" width="9" style="1"/>
  </cols>
  <sheetData>
    <row r="1" spans="1:18" ht="28.15" customHeight="1" x14ac:dyDescent="0.25">
      <c r="A1" s="227" t="s">
        <v>63</v>
      </c>
      <c r="B1" s="228"/>
      <c r="C1" s="228"/>
      <c r="D1" s="228"/>
      <c r="E1" s="228"/>
      <c r="F1" s="228"/>
      <c r="G1" s="228"/>
      <c r="H1" s="228"/>
      <c r="I1" s="228"/>
      <c r="J1" s="228"/>
      <c r="K1" s="228"/>
      <c r="L1" s="229"/>
      <c r="M1" s="4"/>
      <c r="N1" s="4"/>
      <c r="O1" s="1"/>
      <c r="Q1" s="1"/>
      <c r="R1" s="1"/>
    </row>
    <row r="2" spans="1:18" ht="28.15" customHeight="1" x14ac:dyDescent="0.25">
      <c r="A2" s="213" t="s">
        <v>163</v>
      </c>
      <c r="B2" s="213"/>
      <c r="C2" s="162">
        <v>115</v>
      </c>
      <c r="D2" s="163" t="s">
        <v>224</v>
      </c>
      <c r="E2" s="160">
        <v>3</v>
      </c>
      <c r="F2" s="161" t="s">
        <v>160</v>
      </c>
      <c r="G2" s="164">
        <v>25</v>
      </c>
      <c r="H2" s="164" t="s">
        <v>161</v>
      </c>
      <c r="I2" s="214" t="s">
        <v>162</v>
      </c>
      <c r="J2" s="215"/>
      <c r="K2" s="164" t="s">
        <v>257</v>
      </c>
      <c r="L2" s="163"/>
      <c r="M2" s="4"/>
      <c r="N2" s="4"/>
      <c r="O2" s="1"/>
      <c r="Q2" s="1"/>
      <c r="R2" s="1"/>
    </row>
    <row r="3" spans="1:18" ht="30" customHeight="1" x14ac:dyDescent="0.25">
      <c r="A3" s="133" t="s">
        <v>46</v>
      </c>
      <c r="B3" s="157" t="s">
        <v>198</v>
      </c>
      <c r="C3" s="245" t="s">
        <v>212</v>
      </c>
      <c r="D3" s="246"/>
      <c r="E3" s="246"/>
      <c r="F3" s="246"/>
      <c r="G3" s="246"/>
      <c r="H3" s="246"/>
      <c r="I3" s="246"/>
      <c r="J3" s="247"/>
      <c r="K3" s="257" t="s">
        <v>216</v>
      </c>
      <c r="L3" s="257"/>
      <c r="M3" s="1"/>
      <c r="O3" s="1"/>
      <c r="Q3" s="1"/>
      <c r="R3" s="1"/>
    </row>
    <row r="4" spans="1:18" ht="25.15" customHeight="1" x14ac:dyDescent="0.25">
      <c r="A4" s="130" t="s">
        <v>170</v>
      </c>
      <c r="B4" s="134">
        <f>出貨統計表!H5+C4</f>
        <v>3908</v>
      </c>
      <c r="C4" s="245"/>
      <c r="D4" s="246"/>
      <c r="E4" s="246"/>
      <c r="F4" s="246"/>
      <c r="G4" s="246"/>
      <c r="H4" s="246"/>
      <c r="I4" s="246"/>
      <c r="J4" s="247"/>
      <c r="K4" s="262"/>
      <c r="L4" s="262"/>
      <c r="M4" s="1"/>
      <c r="O4" s="1"/>
      <c r="Q4" s="1"/>
      <c r="R4" s="1"/>
    </row>
    <row r="5" spans="1:18" ht="25.15" customHeight="1" x14ac:dyDescent="0.25">
      <c r="A5" s="130" t="s">
        <v>171</v>
      </c>
      <c r="B5" s="134">
        <f>出貨統計表!H6+C5</f>
        <v>347</v>
      </c>
      <c r="C5" s="245"/>
      <c r="D5" s="246"/>
      <c r="E5" s="246"/>
      <c r="F5" s="246"/>
      <c r="G5" s="246"/>
      <c r="H5" s="246"/>
      <c r="I5" s="246"/>
      <c r="J5" s="247"/>
      <c r="K5" s="262"/>
      <c r="L5" s="262"/>
      <c r="M5" s="1"/>
      <c r="O5" s="1"/>
      <c r="Q5" s="1"/>
      <c r="R5" s="1"/>
    </row>
    <row r="6" spans="1:18" ht="25.15" customHeight="1" x14ac:dyDescent="0.25">
      <c r="A6" s="130" t="s">
        <v>172</v>
      </c>
      <c r="B6" s="134">
        <f>出貨統計表!H7+C6</f>
        <v>297</v>
      </c>
      <c r="C6" s="245"/>
      <c r="D6" s="246"/>
      <c r="E6" s="246"/>
      <c r="F6" s="246"/>
      <c r="G6" s="246"/>
      <c r="H6" s="246"/>
      <c r="I6" s="246"/>
      <c r="J6" s="247"/>
      <c r="K6" s="262"/>
      <c r="L6" s="262"/>
      <c r="M6" s="1"/>
      <c r="O6" s="1"/>
      <c r="Q6" s="1"/>
      <c r="R6" s="1"/>
    </row>
    <row r="7" spans="1:18" ht="25.15" customHeight="1" x14ac:dyDescent="0.25">
      <c r="A7" s="130" t="s">
        <v>173</v>
      </c>
      <c r="B7" s="134">
        <f>出貨統計表!H8+C7</f>
        <v>210</v>
      </c>
      <c r="C7" s="245"/>
      <c r="D7" s="246"/>
      <c r="E7" s="246"/>
      <c r="F7" s="246"/>
      <c r="G7" s="246"/>
      <c r="H7" s="246"/>
      <c r="I7" s="246"/>
      <c r="J7" s="247"/>
      <c r="K7" s="262"/>
      <c r="L7" s="262"/>
      <c r="M7" s="1"/>
      <c r="O7" s="1"/>
      <c r="Q7" s="1"/>
      <c r="R7" s="1"/>
    </row>
    <row r="8" spans="1:18" ht="25.15" customHeight="1" x14ac:dyDescent="0.25">
      <c r="A8" s="130" t="s">
        <v>174</v>
      </c>
      <c r="B8" s="134">
        <f>出貨統計表!H9+C8</f>
        <v>247</v>
      </c>
      <c r="C8" s="245"/>
      <c r="D8" s="246"/>
      <c r="E8" s="246"/>
      <c r="F8" s="246"/>
      <c r="G8" s="246"/>
      <c r="H8" s="246"/>
      <c r="I8" s="246"/>
      <c r="J8" s="247"/>
      <c r="K8" s="262"/>
      <c r="L8" s="262"/>
      <c r="M8" s="1"/>
      <c r="O8" s="1"/>
      <c r="Q8" s="1"/>
      <c r="R8" s="1"/>
    </row>
    <row r="9" spans="1:18" ht="25.15" customHeight="1" x14ac:dyDescent="0.25">
      <c r="A9" s="130" t="s">
        <v>169</v>
      </c>
      <c r="B9" s="134">
        <f>出貨統計表!H10+C9</f>
        <v>381</v>
      </c>
      <c r="C9" s="245"/>
      <c r="D9" s="246"/>
      <c r="E9" s="246"/>
      <c r="F9" s="246"/>
      <c r="G9" s="246"/>
      <c r="H9" s="246"/>
      <c r="I9" s="246"/>
      <c r="J9" s="247"/>
      <c r="K9" s="262"/>
      <c r="L9" s="262"/>
      <c r="M9" s="1"/>
      <c r="O9" s="1"/>
      <c r="Q9" s="1"/>
      <c r="R9" s="1"/>
    </row>
    <row r="10" spans="1:18" ht="25.15" customHeight="1" x14ac:dyDescent="0.25">
      <c r="A10" s="130" t="s">
        <v>168</v>
      </c>
      <c r="B10" s="134">
        <f>出貨統計表!H11+C10</f>
        <v>239</v>
      </c>
      <c r="C10" s="245"/>
      <c r="D10" s="246"/>
      <c r="E10" s="246"/>
      <c r="F10" s="246"/>
      <c r="G10" s="246"/>
      <c r="H10" s="246"/>
      <c r="I10" s="246"/>
      <c r="J10" s="247"/>
      <c r="K10" s="262"/>
      <c r="L10" s="262"/>
      <c r="M10" s="1"/>
      <c r="O10" s="1"/>
      <c r="Q10" s="1"/>
      <c r="R10" s="1"/>
    </row>
    <row r="11" spans="1:18" ht="25.15" customHeight="1" x14ac:dyDescent="0.25">
      <c r="A11" s="130" t="s">
        <v>167</v>
      </c>
      <c r="B11" s="134">
        <f>出貨統計表!H12+C11</f>
        <v>50</v>
      </c>
      <c r="C11" s="245"/>
      <c r="D11" s="246"/>
      <c r="E11" s="246"/>
      <c r="F11" s="246"/>
      <c r="G11" s="246"/>
      <c r="H11" s="246"/>
      <c r="I11" s="246"/>
      <c r="J11" s="247"/>
      <c r="K11" s="262"/>
      <c r="L11" s="262"/>
      <c r="M11" s="1"/>
      <c r="O11" s="1"/>
      <c r="Q11" s="1"/>
      <c r="R11" s="1"/>
    </row>
    <row r="12" spans="1:18" ht="25.15" customHeight="1" x14ac:dyDescent="0.25">
      <c r="A12" s="130" t="s">
        <v>166</v>
      </c>
      <c r="B12" s="134">
        <f>出貨統計表!H13+C12</f>
        <v>258</v>
      </c>
      <c r="C12" s="245"/>
      <c r="D12" s="246"/>
      <c r="E12" s="246"/>
      <c r="F12" s="246"/>
      <c r="G12" s="246"/>
      <c r="H12" s="246"/>
      <c r="I12" s="246"/>
      <c r="J12" s="247"/>
      <c r="K12" s="262"/>
      <c r="L12" s="262"/>
      <c r="M12" s="1"/>
      <c r="O12" s="1"/>
      <c r="Q12" s="1"/>
      <c r="R12" s="1"/>
    </row>
    <row r="13" spans="1:18" ht="25.15" customHeight="1" x14ac:dyDescent="0.25">
      <c r="A13" s="130" t="s">
        <v>165</v>
      </c>
      <c r="B13" s="134">
        <f>出貨統計表!H14+C13</f>
        <v>148</v>
      </c>
      <c r="C13" s="245"/>
      <c r="D13" s="246"/>
      <c r="E13" s="246"/>
      <c r="F13" s="246"/>
      <c r="G13" s="246"/>
      <c r="H13" s="246"/>
      <c r="I13" s="246"/>
      <c r="J13" s="247"/>
      <c r="K13" s="262"/>
      <c r="L13" s="262"/>
      <c r="M13" s="1"/>
      <c r="O13" s="1"/>
      <c r="Q13" s="1"/>
      <c r="R13" s="1"/>
    </row>
    <row r="14" spans="1:18" ht="30" customHeight="1" x14ac:dyDescent="0.25">
      <c r="A14" s="133" t="s">
        <v>156</v>
      </c>
      <c r="B14" s="157" t="s">
        <v>198</v>
      </c>
      <c r="C14" s="245" t="s">
        <v>212</v>
      </c>
      <c r="D14" s="246"/>
      <c r="E14" s="246"/>
      <c r="F14" s="246"/>
      <c r="G14" s="246"/>
      <c r="H14" s="246"/>
      <c r="I14" s="246"/>
      <c r="J14" s="247"/>
      <c r="K14" s="257" t="s">
        <v>216</v>
      </c>
      <c r="L14" s="257"/>
      <c r="M14" s="1"/>
      <c r="O14" s="1"/>
      <c r="Q14" s="1"/>
      <c r="R14" s="1"/>
    </row>
    <row r="15" spans="1:18" ht="25.15" customHeight="1" x14ac:dyDescent="0.25">
      <c r="A15" s="130" t="s">
        <v>157</v>
      </c>
      <c r="B15" s="134">
        <f>出貨統計表!H15+C15</f>
        <v>94</v>
      </c>
      <c r="C15" s="245"/>
      <c r="D15" s="246"/>
      <c r="E15" s="246"/>
      <c r="F15" s="246"/>
      <c r="G15" s="246"/>
      <c r="H15" s="246"/>
      <c r="I15" s="246"/>
      <c r="J15" s="247"/>
      <c r="K15" s="262"/>
      <c r="L15" s="262"/>
      <c r="M15" s="1"/>
      <c r="O15" s="1"/>
      <c r="Q15" s="1"/>
      <c r="R15" s="1"/>
    </row>
    <row r="16" spans="1:18" ht="25.15" customHeight="1" x14ac:dyDescent="0.25">
      <c r="A16" s="130" t="s">
        <v>158</v>
      </c>
      <c r="B16" s="134">
        <f>出貨統計表!H16+C16</f>
        <v>3</v>
      </c>
      <c r="C16" s="245"/>
      <c r="D16" s="246"/>
      <c r="E16" s="246"/>
      <c r="F16" s="246"/>
      <c r="G16" s="246"/>
      <c r="H16" s="246"/>
      <c r="I16" s="246"/>
      <c r="J16" s="247"/>
      <c r="K16" s="262"/>
      <c r="L16" s="262"/>
      <c r="M16" s="1"/>
      <c r="O16" s="1"/>
      <c r="Q16" s="1"/>
      <c r="R16" s="1"/>
    </row>
    <row r="17" spans="1:18" ht="30" customHeight="1" x14ac:dyDescent="0.25">
      <c r="A17" s="133" t="s">
        <v>78</v>
      </c>
      <c r="B17" s="157" t="s">
        <v>198</v>
      </c>
      <c r="C17" s="245" t="s">
        <v>212</v>
      </c>
      <c r="D17" s="246"/>
      <c r="E17" s="246"/>
      <c r="F17" s="246"/>
      <c r="G17" s="246"/>
      <c r="H17" s="246"/>
      <c r="I17" s="246"/>
      <c r="J17" s="247"/>
      <c r="K17" s="257" t="s">
        <v>216</v>
      </c>
      <c r="L17" s="257"/>
      <c r="M17" s="1"/>
      <c r="O17" s="1"/>
      <c r="Q17" s="1"/>
      <c r="R17" s="1"/>
    </row>
    <row r="18" spans="1:18" ht="25.15" customHeight="1" x14ac:dyDescent="0.25">
      <c r="A18" s="130" t="s">
        <v>164</v>
      </c>
      <c r="B18" s="134">
        <f>出貨統計表!H24+C18</f>
        <v>575</v>
      </c>
      <c r="C18" s="245">
        <v>358</v>
      </c>
      <c r="D18" s="246"/>
      <c r="E18" s="246"/>
      <c r="F18" s="246"/>
      <c r="G18" s="246"/>
      <c r="H18" s="246"/>
      <c r="I18" s="246"/>
      <c r="J18" s="247"/>
      <c r="K18" s="262"/>
      <c r="L18" s="262"/>
      <c r="M18" s="1"/>
      <c r="O18" s="1"/>
      <c r="Q18" s="1"/>
      <c r="R18" s="1"/>
    </row>
    <row r="19" spans="1:18" ht="25.15" customHeight="1" x14ac:dyDescent="0.25">
      <c r="A19" s="149" t="s">
        <v>175</v>
      </c>
      <c r="B19" s="134">
        <f>出貨統計表!H25+C19</f>
        <v>327</v>
      </c>
      <c r="C19" s="245"/>
      <c r="D19" s="246"/>
      <c r="E19" s="246"/>
      <c r="F19" s="246"/>
      <c r="G19" s="246"/>
      <c r="H19" s="246"/>
      <c r="I19" s="246"/>
      <c r="J19" s="247"/>
      <c r="K19" s="262"/>
      <c r="L19" s="262"/>
      <c r="M19" s="1"/>
      <c r="O19" s="1"/>
      <c r="Q19" s="1"/>
      <c r="R19" s="1"/>
    </row>
    <row r="20" spans="1:18" ht="25.15" customHeight="1" x14ac:dyDescent="0.25">
      <c r="A20" s="149" t="s">
        <v>176</v>
      </c>
      <c r="B20" s="134">
        <f>出貨統計表!H26+C20</f>
        <v>162</v>
      </c>
      <c r="C20" s="245"/>
      <c r="D20" s="246"/>
      <c r="E20" s="246"/>
      <c r="F20" s="246"/>
      <c r="G20" s="246"/>
      <c r="H20" s="246"/>
      <c r="I20" s="246"/>
      <c r="J20" s="247"/>
      <c r="K20" s="262"/>
      <c r="L20" s="262"/>
      <c r="M20" s="1"/>
      <c r="O20" s="1"/>
      <c r="Q20" s="1"/>
      <c r="R20" s="1"/>
    </row>
    <row r="21" spans="1:18" ht="25.15" customHeight="1" x14ac:dyDescent="0.25">
      <c r="A21" s="149" t="s">
        <v>177</v>
      </c>
      <c r="B21" s="134">
        <f>出貨統計表!H27+C21</f>
        <v>384</v>
      </c>
      <c r="C21" s="245">
        <v>358</v>
      </c>
      <c r="D21" s="246"/>
      <c r="E21" s="246"/>
      <c r="F21" s="246"/>
      <c r="G21" s="246"/>
      <c r="H21" s="246"/>
      <c r="I21" s="246"/>
      <c r="J21" s="247"/>
      <c r="K21" s="262"/>
      <c r="L21" s="262"/>
      <c r="M21" s="1"/>
      <c r="O21" s="1"/>
      <c r="Q21" s="1"/>
      <c r="R21" s="1"/>
    </row>
    <row r="22" spans="1:18" ht="25.15" customHeight="1" x14ac:dyDescent="0.25">
      <c r="A22" s="149" t="s">
        <v>178</v>
      </c>
      <c r="B22" s="134">
        <f>出貨統計表!H28+C22</f>
        <v>97</v>
      </c>
      <c r="C22" s="245"/>
      <c r="D22" s="246"/>
      <c r="E22" s="246"/>
      <c r="F22" s="246"/>
      <c r="G22" s="246"/>
      <c r="H22" s="246"/>
      <c r="I22" s="246"/>
      <c r="J22" s="247"/>
      <c r="K22" s="262"/>
      <c r="L22" s="262"/>
      <c r="M22" s="1"/>
      <c r="O22" s="1"/>
      <c r="Q22" s="1"/>
      <c r="R22" s="1"/>
    </row>
    <row r="23" spans="1:18" ht="30" customHeight="1" x14ac:dyDescent="0.25">
      <c r="A23" s="133" t="s">
        <v>179</v>
      </c>
      <c r="B23" s="157" t="s">
        <v>198</v>
      </c>
      <c r="C23" s="245" t="s">
        <v>212</v>
      </c>
      <c r="D23" s="246"/>
      <c r="E23" s="246"/>
      <c r="F23" s="246"/>
      <c r="G23" s="246"/>
      <c r="H23" s="246"/>
      <c r="I23" s="246"/>
      <c r="J23" s="247"/>
      <c r="K23" s="257" t="s">
        <v>216</v>
      </c>
      <c r="L23" s="257"/>
      <c r="M23" s="1"/>
      <c r="O23" s="1"/>
      <c r="Q23" s="1"/>
      <c r="R23" s="1"/>
    </row>
    <row r="24" spans="1:18" ht="25.15" customHeight="1" x14ac:dyDescent="0.25">
      <c r="A24" s="150" t="s">
        <v>180</v>
      </c>
      <c r="B24" s="134">
        <f>出貨統計表!H32+C24</f>
        <v>299</v>
      </c>
      <c r="C24" s="245"/>
      <c r="D24" s="246"/>
      <c r="E24" s="246"/>
      <c r="F24" s="246"/>
      <c r="G24" s="246"/>
      <c r="H24" s="246"/>
      <c r="I24" s="246"/>
      <c r="J24" s="247"/>
      <c r="K24" s="262"/>
      <c r="L24" s="262"/>
      <c r="M24" s="1"/>
      <c r="O24" s="1"/>
      <c r="Q24" s="1"/>
      <c r="R24" s="1"/>
    </row>
    <row r="25" spans="1:18" ht="25.15" customHeight="1" x14ac:dyDescent="0.25">
      <c r="A25" s="150" t="s">
        <v>181</v>
      </c>
      <c r="B25" s="134">
        <f>出貨統計表!H33+C25</f>
        <v>76</v>
      </c>
      <c r="C25" s="245"/>
      <c r="D25" s="246"/>
      <c r="E25" s="246"/>
      <c r="F25" s="246"/>
      <c r="G25" s="246"/>
      <c r="H25" s="246"/>
      <c r="I25" s="246"/>
      <c r="J25" s="247"/>
      <c r="K25" s="262"/>
      <c r="L25" s="262"/>
      <c r="M25" s="1"/>
      <c r="O25" s="1"/>
      <c r="Q25" s="1"/>
      <c r="R25" s="1"/>
    </row>
    <row r="26" spans="1:18" ht="25.15" customHeight="1" x14ac:dyDescent="0.25">
      <c r="A26" s="150" t="s">
        <v>182</v>
      </c>
      <c r="B26" s="134">
        <f>出貨統計表!H34+C26</f>
        <v>81</v>
      </c>
      <c r="C26" s="245"/>
      <c r="D26" s="246"/>
      <c r="E26" s="246"/>
      <c r="F26" s="246"/>
      <c r="G26" s="246"/>
      <c r="H26" s="246"/>
      <c r="I26" s="246"/>
      <c r="J26" s="247"/>
      <c r="K26" s="262"/>
      <c r="L26" s="262"/>
      <c r="M26" s="1"/>
      <c r="O26" s="1"/>
      <c r="Q26" s="1"/>
      <c r="R26" s="1"/>
    </row>
    <row r="27" spans="1:18" ht="25.15" customHeight="1" x14ac:dyDescent="0.25">
      <c r="A27" s="150" t="s">
        <v>183</v>
      </c>
      <c r="B27" s="134">
        <f>出貨統計表!H35+C27</f>
        <v>99</v>
      </c>
      <c r="C27" s="245"/>
      <c r="D27" s="246"/>
      <c r="E27" s="246"/>
      <c r="F27" s="246"/>
      <c r="G27" s="246"/>
      <c r="H27" s="246"/>
      <c r="I27" s="246"/>
      <c r="J27" s="247"/>
      <c r="K27" s="262"/>
      <c r="L27" s="262"/>
      <c r="M27" s="1"/>
      <c r="O27" s="1"/>
      <c r="Q27" s="1"/>
      <c r="R27" s="1"/>
    </row>
    <row r="28" spans="1:18" ht="25.15" customHeight="1" x14ac:dyDescent="0.25">
      <c r="A28" s="150" t="s">
        <v>184</v>
      </c>
      <c r="B28" s="134">
        <f>出貨統計表!H36+C28</f>
        <v>94</v>
      </c>
      <c r="C28" s="245"/>
      <c r="D28" s="246"/>
      <c r="E28" s="246"/>
      <c r="F28" s="246"/>
      <c r="G28" s="246"/>
      <c r="H28" s="246"/>
      <c r="I28" s="246"/>
      <c r="J28" s="247"/>
      <c r="K28" s="262"/>
      <c r="L28" s="262"/>
      <c r="M28" s="1"/>
      <c r="O28" s="1"/>
      <c r="Q28" s="1"/>
      <c r="R28" s="1"/>
    </row>
    <row r="29" spans="1:18" ht="25.15" customHeight="1" x14ac:dyDescent="0.25">
      <c r="A29" s="150" t="s">
        <v>185</v>
      </c>
      <c r="B29" s="134">
        <f>出貨統計表!H37+C29</f>
        <v>106</v>
      </c>
      <c r="C29" s="245"/>
      <c r="D29" s="246"/>
      <c r="E29" s="246"/>
      <c r="F29" s="246"/>
      <c r="G29" s="246"/>
      <c r="H29" s="246"/>
      <c r="I29" s="246"/>
      <c r="J29" s="247"/>
      <c r="K29" s="262"/>
      <c r="L29" s="262"/>
      <c r="M29" s="1"/>
      <c r="O29" s="1"/>
      <c r="Q29" s="1"/>
      <c r="R29" s="1"/>
    </row>
    <row r="30" spans="1:18" ht="30" customHeight="1" x14ac:dyDescent="0.25">
      <c r="A30" s="133" t="s">
        <v>149</v>
      </c>
      <c r="B30" s="157" t="s">
        <v>208</v>
      </c>
      <c r="C30" s="180" t="s">
        <v>209</v>
      </c>
      <c r="D30" s="259" t="s">
        <v>192</v>
      </c>
      <c r="E30" s="259"/>
      <c r="F30" s="259" t="s">
        <v>193</v>
      </c>
      <c r="G30" s="259"/>
      <c r="H30" s="257" t="s">
        <v>216</v>
      </c>
      <c r="I30" s="257"/>
      <c r="J30" s="201"/>
      <c r="K30" s="261"/>
      <c r="L30" s="251"/>
      <c r="M30" s="1"/>
      <c r="O30" s="1"/>
      <c r="Q30" s="1"/>
      <c r="R30" s="1"/>
    </row>
    <row r="31" spans="1:18" ht="25.15" customHeight="1" x14ac:dyDescent="0.25">
      <c r="A31" s="150" t="s">
        <v>187</v>
      </c>
      <c r="B31" s="134">
        <f>出貨統計表!G40+D31</f>
        <v>0</v>
      </c>
      <c r="C31" s="134">
        <f>出貨統計表!H40+F31</f>
        <v>0</v>
      </c>
      <c r="D31" s="258"/>
      <c r="E31" s="258"/>
      <c r="F31" s="259"/>
      <c r="G31" s="259"/>
      <c r="H31" s="258"/>
      <c r="I31" s="258"/>
      <c r="J31" s="201"/>
      <c r="K31" s="261"/>
      <c r="L31" s="251"/>
      <c r="M31" s="1"/>
      <c r="O31" s="1"/>
      <c r="Q31" s="1"/>
      <c r="R31" s="1"/>
    </row>
    <row r="32" spans="1:18" ht="25.15" customHeight="1" x14ac:dyDescent="0.25">
      <c r="A32" s="150" t="s">
        <v>188</v>
      </c>
      <c r="B32" s="134">
        <f>出貨統計表!G41+D32</f>
        <v>0</v>
      </c>
      <c r="C32" s="134">
        <f>出貨統計表!H41+F32</f>
        <v>1</v>
      </c>
      <c r="D32" s="258"/>
      <c r="E32" s="258"/>
      <c r="F32" s="259"/>
      <c r="G32" s="259"/>
      <c r="H32" s="258"/>
      <c r="I32" s="258"/>
      <c r="J32" s="201"/>
      <c r="K32" s="261"/>
      <c r="L32" s="251"/>
      <c r="M32" s="1"/>
      <c r="O32" s="1"/>
      <c r="Q32" s="1"/>
      <c r="R32" s="1"/>
    </row>
    <row r="33" spans="1:18" ht="25.15" customHeight="1" x14ac:dyDescent="0.25">
      <c r="A33" s="150" t="s">
        <v>189</v>
      </c>
      <c r="B33" s="134">
        <f>出貨統計表!G42+D33</f>
        <v>0</v>
      </c>
      <c r="C33" s="134">
        <f>出貨統計表!H42+F33</f>
        <v>0</v>
      </c>
      <c r="D33" s="258"/>
      <c r="E33" s="258"/>
      <c r="F33" s="259"/>
      <c r="G33" s="259"/>
      <c r="H33" s="258"/>
      <c r="I33" s="258"/>
      <c r="J33" s="201"/>
      <c r="K33" s="261"/>
      <c r="L33" s="251"/>
      <c r="M33" s="1"/>
      <c r="O33" s="1"/>
      <c r="Q33" s="1"/>
      <c r="R33" s="1"/>
    </row>
    <row r="34" spans="1:18" ht="25.15" customHeight="1" x14ac:dyDescent="0.25">
      <c r="A34" s="150" t="s">
        <v>190</v>
      </c>
      <c r="B34" s="134">
        <f>出貨統計表!G43+D34</f>
        <v>0</v>
      </c>
      <c r="C34" s="134">
        <f>出貨統計表!H43+F34</f>
        <v>0</v>
      </c>
      <c r="D34" s="258"/>
      <c r="E34" s="258"/>
      <c r="F34" s="259"/>
      <c r="G34" s="259"/>
      <c r="H34" s="258"/>
      <c r="I34" s="258"/>
      <c r="J34" s="201"/>
      <c r="K34" s="261"/>
      <c r="L34" s="251"/>
      <c r="M34" s="1"/>
      <c r="O34" s="1"/>
      <c r="Q34" s="1"/>
      <c r="R34" s="1"/>
    </row>
    <row r="35" spans="1:18" ht="25.15" customHeight="1" x14ac:dyDescent="0.25">
      <c r="A35" s="150" t="s">
        <v>191</v>
      </c>
      <c r="B35" s="134">
        <f>出貨統計表!G44+D35</f>
        <v>0</v>
      </c>
      <c r="C35" s="134">
        <f>出貨統計表!H44+F35</f>
        <v>0</v>
      </c>
      <c r="D35" s="258"/>
      <c r="E35" s="258"/>
      <c r="F35" s="259"/>
      <c r="G35" s="259"/>
      <c r="H35" s="258"/>
      <c r="I35" s="258"/>
      <c r="J35" s="201"/>
      <c r="K35" s="261"/>
      <c r="L35" s="251"/>
      <c r="M35" s="1"/>
      <c r="O35" s="1"/>
      <c r="Q35" s="1"/>
      <c r="R35" s="1"/>
    </row>
    <row r="36" spans="1:18" ht="40.5" x14ac:dyDescent="0.25">
      <c r="A36" s="133" t="s">
        <v>186</v>
      </c>
      <c r="B36" s="170" t="s">
        <v>255</v>
      </c>
      <c r="C36" s="156" t="s">
        <v>256</v>
      </c>
      <c r="D36" s="252" t="s">
        <v>213</v>
      </c>
      <c r="E36" s="253"/>
      <c r="F36" s="254" t="s">
        <v>214</v>
      </c>
      <c r="G36" s="255"/>
      <c r="H36" s="257" t="s">
        <v>216</v>
      </c>
      <c r="I36" s="257"/>
      <c r="J36" s="202"/>
      <c r="K36" s="261"/>
      <c r="L36" s="251"/>
      <c r="M36" s="1"/>
      <c r="O36" s="1"/>
      <c r="Q36" s="1"/>
      <c r="R36" s="1"/>
    </row>
    <row r="37" spans="1:18" ht="25.15" customHeight="1" x14ac:dyDescent="0.25">
      <c r="A37" s="150" t="s">
        <v>201</v>
      </c>
      <c r="B37" s="193"/>
      <c r="C37" s="181"/>
      <c r="D37" s="209">
        <f>出貨統計表!G45+F37</f>
        <v>4</v>
      </c>
      <c r="E37" s="209"/>
      <c r="F37" s="245"/>
      <c r="G37" s="247"/>
      <c r="H37" s="258"/>
      <c r="I37" s="258"/>
      <c r="J37" s="202"/>
      <c r="K37" s="261"/>
      <c r="L37" s="251"/>
      <c r="M37" s="1"/>
      <c r="O37" s="1"/>
      <c r="Q37" s="1"/>
      <c r="R37" s="1"/>
    </row>
    <row r="38" spans="1:18" ht="25.15" customHeight="1" x14ac:dyDescent="0.25">
      <c r="A38" s="150" t="s">
        <v>194</v>
      </c>
      <c r="B38" s="193"/>
      <c r="C38" s="181"/>
      <c r="D38" s="209">
        <f>出貨統計表!G46+F38</f>
        <v>3</v>
      </c>
      <c r="E38" s="209"/>
      <c r="F38" s="245"/>
      <c r="G38" s="247"/>
      <c r="H38" s="258"/>
      <c r="I38" s="258"/>
      <c r="J38" s="202"/>
      <c r="K38" s="261"/>
      <c r="L38" s="251"/>
      <c r="M38" s="1"/>
      <c r="O38" s="1"/>
      <c r="Q38" s="1"/>
      <c r="R38" s="1"/>
    </row>
    <row r="39" spans="1:18" ht="25.15" customHeight="1" x14ac:dyDescent="0.25">
      <c r="A39" s="150" t="s">
        <v>195</v>
      </c>
      <c r="B39" s="193"/>
      <c r="C39" s="181"/>
      <c r="D39" s="209">
        <f>出貨統計表!G47+F39</f>
        <v>10</v>
      </c>
      <c r="E39" s="209"/>
      <c r="F39" s="245"/>
      <c r="G39" s="247"/>
      <c r="H39" s="258"/>
      <c r="I39" s="258"/>
      <c r="J39" s="202"/>
      <c r="K39" s="261"/>
      <c r="L39" s="251"/>
      <c r="M39" s="1"/>
      <c r="O39" s="1"/>
      <c r="Q39" s="1"/>
      <c r="R39" s="1"/>
    </row>
    <row r="40" spans="1:18" ht="25.15" customHeight="1" x14ac:dyDescent="0.25">
      <c r="A40" s="150" t="s">
        <v>196</v>
      </c>
      <c r="B40" s="193"/>
      <c r="C40" s="181"/>
      <c r="D40" s="209">
        <f>出貨統計表!G48+F40</f>
        <v>14</v>
      </c>
      <c r="E40" s="209"/>
      <c r="F40" s="245"/>
      <c r="G40" s="247"/>
      <c r="H40" s="258"/>
      <c r="I40" s="258"/>
      <c r="J40" s="202"/>
      <c r="K40" s="261"/>
      <c r="L40" s="251"/>
      <c r="M40" s="1"/>
      <c r="O40" s="1"/>
      <c r="Q40" s="1"/>
      <c r="R40" s="1"/>
    </row>
    <row r="41" spans="1:18" ht="25.15" customHeight="1" x14ac:dyDescent="0.25">
      <c r="A41" s="150" t="s">
        <v>197</v>
      </c>
      <c r="B41" s="193"/>
      <c r="C41" s="181"/>
      <c r="D41" s="209">
        <f>出貨統計表!G49+F41</f>
        <v>8</v>
      </c>
      <c r="E41" s="209"/>
      <c r="F41" s="245">
        <v>11</v>
      </c>
      <c r="G41" s="247"/>
      <c r="H41" s="258"/>
      <c r="I41" s="258"/>
      <c r="J41" s="202"/>
      <c r="K41" s="261"/>
      <c r="L41" s="251"/>
      <c r="M41" s="1"/>
      <c r="O41" s="1"/>
      <c r="Q41" s="1"/>
      <c r="R41" s="1"/>
    </row>
    <row r="42" spans="1:18" ht="40.5" x14ac:dyDescent="0.25">
      <c r="A42" s="133" t="s">
        <v>141</v>
      </c>
      <c r="B42" s="170" t="s">
        <v>252</v>
      </c>
      <c r="C42" s="169" t="s">
        <v>251</v>
      </c>
      <c r="D42" s="157" t="s">
        <v>206</v>
      </c>
      <c r="E42" s="157" t="s">
        <v>207</v>
      </c>
      <c r="F42" s="259" t="s">
        <v>153</v>
      </c>
      <c r="G42" s="259"/>
      <c r="H42" s="259" t="s">
        <v>154</v>
      </c>
      <c r="I42" s="259"/>
      <c r="J42" s="153" t="s">
        <v>216</v>
      </c>
      <c r="K42" s="218" t="s">
        <v>220</v>
      </c>
      <c r="L42" s="256"/>
      <c r="M42" s="1"/>
      <c r="O42" s="1"/>
      <c r="Q42" s="1"/>
      <c r="R42" s="1"/>
    </row>
    <row r="43" spans="1:18" ht="25.15" customHeight="1" x14ac:dyDescent="0.25">
      <c r="A43" s="130" t="s">
        <v>202</v>
      </c>
      <c r="B43" s="193">
        <v>0.4</v>
      </c>
      <c r="C43" s="177">
        <f>B43-(((F43*100)+(H43*200)+(F45*50))/1000)+((K43*2500)/1000)</f>
        <v>0.4</v>
      </c>
      <c r="D43" s="134">
        <f>出貨統計表!G52+F43</f>
        <v>0</v>
      </c>
      <c r="E43" s="134">
        <f>出貨統計表!H52+H43</f>
        <v>70</v>
      </c>
      <c r="F43" s="258"/>
      <c r="G43" s="258"/>
      <c r="H43" s="258"/>
      <c r="I43" s="258"/>
      <c r="J43" s="165"/>
      <c r="K43" s="138">
        <f>'餅乾庫存(叫貨 )'!B43</f>
        <v>0</v>
      </c>
      <c r="L43" s="138" t="s">
        <v>221</v>
      </c>
      <c r="M43" s="1"/>
      <c r="O43" s="1"/>
      <c r="Q43" s="1"/>
      <c r="R43" s="1"/>
    </row>
    <row r="44" spans="1:18" ht="25.15" customHeight="1" x14ac:dyDescent="0.25">
      <c r="A44" s="130" t="s">
        <v>203</v>
      </c>
      <c r="B44" s="194">
        <v>0.60000000000000009</v>
      </c>
      <c r="C44" s="177">
        <f>B44-(((F44*100)+(H44*200))/1000)+((K44*5200)/1000)</f>
        <v>0.60000000000000009</v>
      </c>
      <c r="D44" s="134">
        <f>出貨統計表!G53+F44</f>
        <v>0</v>
      </c>
      <c r="E44" s="134">
        <f>出貨統計表!H53+H44</f>
        <v>35</v>
      </c>
      <c r="F44" s="258"/>
      <c r="G44" s="258"/>
      <c r="H44" s="258"/>
      <c r="I44" s="258"/>
      <c r="J44" s="165"/>
      <c r="K44" s="138">
        <f>'餅乾庫存(叫貨 )'!B44</f>
        <v>0</v>
      </c>
      <c r="L44" s="138" t="s">
        <v>221</v>
      </c>
      <c r="M44" s="1"/>
      <c r="O44" s="1"/>
      <c r="Q44" s="1"/>
      <c r="R44" s="1"/>
    </row>
    <row r="45" spans="1:18" ht="25.15" customHeight="1" x14ac:dyDescent="0.25">
      <c r="A45" s="130" t="s">
        <v>147</v>
      </c>
      <c r="B45" s="152"/>
      <c r="C45" s="159"/>
      <c r="D45" s="134">
        <f>出貨統計表!G54+F45</f>
        <v>0</v>
      </c>
      <c r="E45" s="195"/>
      <c r="F45" s="258"/>
      <c r="G45" s="258"/>
      <c r="H45" s="260"/>
      <c r="I45" s="260"/>
      <c r="J45" s="165"/>
      <c r="K45" s="178"/>
      <c r="L45" s="179"/>
      <c r="M45" s="1"/>
      <c r="O45" s="1"/>
      <c r="Q45" s="1"/>
      <c r="R45" s="1"/>
    </row>
    <row r="46" spans="1:18" ht="40.5" x14ac:dyDescent="0.25">
      <c r="A46" s="133" t="s">
        <v>138</v>
      </c>
      <c r="B46" s="170" t="s">
        <v>252</v>
      </c>
      <c r="C46" s="169" t="s">
        <v>251</v>
      </c>
      <c r="D46" s="174" t="s">
        <v>215</v>
      </c>
      <c r="E46" s="157" t="s">
        <v>204</v>
      </c>
      <c r="F46" s="157" t="s">
        <v>205</v>
      </c>
      <c r="G46" s="153" t="s">
        <v>211</v>
      </c>
      <c r="H46" s="156" t="s">
        <v>152</v>
      </c>
      <c r="I46" s="156" t="s">
        <v>151</v>
      </c>
      <c r="J46" s="153" t="s">
        <v>216</v>
      </c>
      <c r="K46" s="218" t="s">
        <v>218</v>
      </c>
      <c r="L46" s="219"/>
      <c r="M46" s="1"/>
      <c r="O46" s="1"/>
      <c r="Q46" s="1"/>
      <c r="R46" s="1"/>
    </row>
    <row r="47" spans="1:18" ht="25.15" customHeight="1" x14ac:dyDescent="0.25">
      <c r="A47" s="131" t="s">
        <v>130</v>
      </c>
      <c r="B47" s="166"/>
      <c r="C47" s="167"/>
      <c r="D47" s="192"/>
      <c r="E47" s="134">
        <f>出貨統計表!G57+H47</f>
        <v>80</v>
      </c>
      <c r="F47" s="134">
        <f>出貨統計表!H57+I47</f>
        <v>114</v>
      </c>
      <c r="G47" s="184"/>
      <c r="H47" s="165">
        <v>30</v>
      </c>
      <c r="I47" s="165">
        <v>60</v>
      </c>
      <c r="J47" s="165"/>
      <c r="K47" s="243"/>
      <c r="L47" s="244"/>
      <c r="M47" s="1"/>
      <c r="O47" s="1"/>
      <c r="Q47" s="1"/>
      <c r="R47" s="1"/>
    </row>
    <row r="48" spans="1:18" ht="25.15" customHeight="1" x14ac:dyDescent="0.25">
      <c r="A48" s="131" t="s">
        <v>133</v>
      </c>
      <c r="B48" s="190">
        <v>1.0950000000000024</v>
      </c>
      <c r="C48" s="168">
        <f>B48-(((G48*7)+(H48*90)+(I48*135)+(H55*45)+(H47*22.5)+(I47*33.75)+(H63*15)+(I63*22.5))/1000)+K48</f>
        <v>2.1175000000000068</v>
      </c>
      <c r="D48" s="176">
        <f>出貨統計表!O12+G48</f>
        <v>19</v>
      </c>
      <c r="E48" s="134">
        <f>出貨統計表!G58+H48</f>
        <v>72</v>
      </c>
      <c r="F48" s="134">
        <f>出貨統計表!H58+I48</f>
        <v>220</v>
      </c>
      <c r="G48" s="151"/>
      <c r="H48" s="165">
        <v>30</v>
      </c>
      <c r="I48" s="165">
        <v>213</v>
      </c>
      <c r="J48" s="165"/>
      <c r="K48" s="138">
        <f>'餅乾庫存(叫貨 )'!B48</f>
        <v>37</v>
      </c>
      <c r="L48" s="138" t="s">
        <v>221</v>
      </c>
      <c r="M48" s="1"/>
      <c r="O48" s="1"/>
      <c r="Q48" s="1"/>
      <c r="R48" s="1"/>
    </row>
    <row r="49" spans="1:18" ht="25.15" customHeight="1" x14ac:dyDescent="0.25">
      <c r="A49" s="131" t="s">
        <v>132</v>
      </c>
      <c r="B49" s="190"/>
      <c r="C49" s="168">
        <f>B49-(((G49*7)+(H49*90)+(I49*135)+(H47*22.5)+(I47*33.75))/1000)+K49</f>
        <v>5.0049999999999999</v>
      </c>
      <c r="D49" s="176">
        <f>出貨統計表!O13+G49</f>
        <v>55</v>
      </c>
      <c r="E49" s="134">
        <f>出貨統計表!G59+H49</f>
        <v>54</v>
      </c>
      <c r="F49" s="134">
        <f>出貨統計表!H59+I49</f>
        <v>83</v>
      </c>
      <c r="G49" s="151"/>
      <c r="H49" s="165"/>
      <c r="I49" s="165">
        <v>17</v>
      </c>
      <c r="J49" s="165"/>
      <c r="K49" s="138">
        <f>'餅乾庫存(叫貨 )'!B49</f>
        <v>10</v>
      </c>
      <c r="L49" s="138" t="s">
        <v>221</v>
      </c>
      <c r="M49" s="1"/>
      <c r="O49" s="1"/>
      <c r="Q49" s="1"/>
      <c r="R49" s="1"/>
    </row>
    <row r="50" spans="1:18" ht="25.15" customHeight="1" x14ac:dyDescent="0.25">
      <c r="A50" s="131" t="s">
        <v>131</v>
      </c>
      <c r="B50" s="190">
        <v>2.6300000000000008</v>
      </c>
      <c r="C50" s="168">
        <f>B50-(((G50*7)+(H50*90)+(I50*135)+(H47*22.5)+(I47*33.75))/1000)+K50</f>
        <v>-6.9999999999999396E-2</v>
      </c>
      <c r="D50" s="176">
        <f>出貨統計表!O14+G50</f>
        <v>13</v>
      </c>
      <c r="E50" s="134">
        <f>出貨統計表!G60+H50</f>
        <v>52</v>
      </c>
      <c r="F50" s="134">
        <f>出貨統計表!H60+I50</f>
        <v>85</v>
      </c>
      <c r="G50" s="151"/>
      <c r="H50" s="165"/>
      <c r="I50" s="165"/>
      <c r="J50" s="165"/>
      <c r="K50" s="138">
        <f>'餅乾庫存(叫貨 )'!B50</f>
        <v>0</v>
      </c>
      <c r="L50" s="138" t="s">
        <v>221</v>
      </c>
      <c r="M50" s="1"/>
      <c r="O50" s="1"/>
      <c r="Q50" s="1"/>
      <c r="R50" s="1"/>
    </row>
    <row r="51" spans="1:18" ht="25.15" customHeight="1" x14ac:dyDescent="0.25">
      <c r="A51" s="131" t="s">
        <v>134</v>
      </c>
      <c r="B51" s="190">
        <v>1.48</v>
      </c>
      <c r="C51" s="168">
        <f>B51-(((G51*7)+(H51*90)+(I51*135)+(H47*22.5)+(I47*33.75))/1000)+K51</f>
        <v>1.7799999999999998</v>
      </c>
      <c r="D51" s="176">
        <f>出貨統計表!O22+G51</f>
        <v>0</v>
      </c>
      <c r="E51" s="134">
        <f>出貨統計表!G61+H51</f>
        <v>26</v>
      </c>
      <c r="F51" s="134">
        <f>出貨統計表!H61+I51</f>
        <v>30</v>
      </c>
      <c r="G51" s="151"/>
      <c r="H51" s="165"/>
      <c r="I51" s="165"/>
      <c r="J51" s="165"/>
      <c r="K51" s="138">
        <f>'餅乾庫存(叫貨 )'!B51</f>
        <v>3</v>
      </c>
      <c r="L51" s="138" t="s">
        <v>221</v>
      </c>
      <c r="M51" s="1"/>
      <c r="O51" s="1"/>
      <c r="Q51" s="1"/>
      <c r="R51" s="1"/>
    </row>
    <row r="52" spans="1:18" ht="25.15" customHeight="1" x14ac:dyDescent="0.25">
      <c r="A52" s="131" t="s">
        <v>135</v>
      </c>
      <c r="B52" s="190"/>
      <c r="C52" s="168">
        <f>B52-(((G52*7)+(H52*90)+(I52*135))/1000)+K52</f>
        <v>0</v>
      </c>
      <c r="D52" s="176">
        <f>出貨統計表!O23+G52</f>
        <v>0</v>
      </c>
      <c r="E52" s="134">
        <f>出貨統計表!G62+H52</f>
        <v>29</v>
      </c>
      <c r="F52" s="134">
        <f>出貨統計表!H62+I52</f>
        <v>16</v>
      </c>
      <c r="G52" s="151"/>
      <c r="H52" s="165"/>
      <c r="I52" s="165"/>
      <c r="J52" s="165"/>
      <c r="K52" s="138">
        <f>'餅乾庫存(叫貨 )'!B52</f>
        <v>0</v>
      </c>
      <c r="L52" s="138" t="s">
        <v>221</v>
      </c>
      <c r="M52" s="1"/>
      <c r="O52" s="1"/>
      <c r="Q52" s="1"/>
      <c r="R52" s="1"/>
    </row>
    <row r="53" spans="1:18" ht="25.15" customHeight="1" x14ac:dyDescent="0.25">
      <c r="A53" s="131" t="s">
        <v>136</v>
      </c>
      <c r="B53" s="190"/>
      <c r="C53" s="168">
        <f>B53-(((G53*7)+(H53*90)+(I53*135))/1000)+K53</f>
        <v>0</v>
      </c>
      <c r="D53" s="176">
        <f>出貨統計表!O24+G53</f>
        <v>0</v>
      </c>
      <c r="E53" s="134">
        <f>出貨統計表!G63+H53</f>
        <v>35</v>
      </c>
      <c r="F53" s="134">
        <f>出貨統計表!H63+I53</f>
        <v>46</v>
      </c>
      <c r="G53" s="151"/>
      <c r="H53" s="165"/>
      <c r="I53" s="165"/>
      <c r="J53" s="165"/>
      <c r="K53" s="138">
        <f>'餅乾庫存(叫貨 )'!B53</f>
        <v>0</v>
      </c>
      <c r="L53" s="138" t="s">
        <v>221</v>
      </c>
      <c r="M53" s="1"/>
      <c r="O53" s="1"/>
      <c r="Q53" s="1"/>
      <c r="R53" s="1"/>
    </row>
    <row r="54" spans="1:18" ht="25.15" customHeight="1" x14ac:dyDescent="0.25">
      <c r="A54" s="131" t="s">
        <v>137</v>
      </c>
      <c r="B54" s="190"/>
      <c r="C54" s="168">
        <f>B54-(((G54*7)+(H54*90)+(I54*135))/1000)+K54</f>
        <v>0</v>
      </c>
      <c r="D54" s="176">
        <f>出貨統計表!O25+G54</f>
        <v>0</v>
      </c>
      <c r="E54" s="134">
        <f>出貨統計表!G64+H54</f>
        <v>13</v>
      </c>
      <c r="F54" s="134">
        <f>出貨統計表!H64+I54</f>
        <v>15</v>
      </c>
      <c r="G54" s="151"/>
      <c r="H54" s="165"/>
      <c r="I54" s="165"/>
      <c r="J54" s="165"/>
      <c r="K54" s="138">
        <f>'餅乾庫存(叫貨 )'!B54</f>
        <v>0</v>
      </c>
      <c r="L54" s="138" t="s">
        <v>221</v>
      </c>
      <c r="M54" s="1"/>
      <c r="O54" s="1"/>
      <c r="Q54" s="1"/>
      <c r="R54" s="1"/>
    </row>
    <row r="55" spans="1:18" ht="25.15" customHeight="1" x14ac:dyDescent="0.25">
      <c r="A55" s="132" t="s">
        <v>146</v>
      </c>
      <c r="B55" s="152"/>
      <c r="C55" s="159"/>
      <c r="D55" s="192"/>
      <c r="E55" s="134">
        <f>出貨統計表!G65+H55</f>
        <v>48</v>
      </c>
      <c r="F55" s="154"/>
      <c r="G55" s="200"/>
      <c r="H55" s="165"/>
      <c r="I55" s="184"/>
      <c r="J55" s="184"/>
      <c r="K55" s="248"/>
      <c r="L55" s="249"/>
      <c r="M55" s="1"/>
      <c r="O55" s="1"/>
      <c r="Q55" s="1"/>
      <c r="R55" s="1"/>
    </row>
    <row r="56" spans="1:18" ht="40.5" x14ac:dyDescent="0.25">
      <c r="A56" s="133" t="s">
        <v>139</v>
      </c>
      <c r="B56" s="170" t="s">
        <v>254</v>
      </c>
      <c r="C56" s="169" t="s">
        <v>253</v>
      </c>
      <c r="D56" s="174" t="s">
        <v>215</v>
      </c>
      <c r="E56" s="157" t="s">
        <v>204</v>
      </c>
      <c r="F56" s="157" t="s">
        <v>205</v>
      </c>
      <c r="G56" s="153" t="s">
        <v>210</v>
      </c>
      <c r="H56" s="156" t="s">
        <v>152</v>
      </c>
      <c r="I56" s="156" t="s">
        <v>151</v>
      </c>
      <c r="J56" s="153" t="s">
        <v>216</v>
      </c>
      <c r="K56" s="203" t="s">
        <v>222</v>
      </c>
      <c r="L56" s="204"/>
      <c r="M56" s="1"/>
      <c r="O56" s="1"/>
      <c r="Q56" s="1"/>
      <c r="R56" s="1"/>
    </row>
    <row r="57" spans="1:18" ht="25.15" customHeight="1" x14ac:dyDescent="0.25">
      <c r="A57" s="130" t="s">
        <v>144</v>
      </c>
      <c r="B57" s="191">
        <v>15.594999999999999</v>
      </c>
      <c r="C57" s="183">
        <f>B57-(((G57*7)+(H57*90)+(I57*135))/200)+K57</f>
        <v>15.594999999999999</v>
      </c>
      <c r="D57" s="176">
        <f>出貨統計表!O15+G57</f>
        <v>69</v>
      </c>
      <c r="E57" s="134">
        <f>出貨統計表!G66+H57</f>
        <v>65</v>
      </c>
      <c r="F57" s="154"/>
      <c r="G57" s="151"/>
      <c r="H57" s="165"/>
      <c r="I57" s="184"/>
      <c r="J57" s="165"/>
      <c r="K57" s="165"/>
      <c r="L57" s="165" t="s">
        <v>232</v>
      </c>
      <c r="M57" s="1"/>
      <c r="O57" s="1"/>
      <c r="Q57" s="1"/>
      <c r="R57" s="1"/>
    </row>
    <row r="58" spans="1:18" ht="25.15" customHeight="1" x14ac:dyDescent="0.25">
      <c r="A58" s="130" t="s">
        <v>142</v>
      </c>
      <c r="B58" s="191">
        <v>14</v>
      </c>
      <c r="C58" s="183">
        <f>B58-(((G58*7)+(H58*90)+(I58*135))/200)+K58</f>
        <v>14</v>
      </c>
      <c r="D58" s="176">
        <f>出貨統計表!O16+G58</f>
        <v>53</v>
      </c>
      <c r="E58" s="134">
        <f>出貨統計表!G67+H58</f>
        <v>45</v>
      </c>
      <c r="F58" s="134">
        <f>出貨統計表!H67+I58</f>
        <v>30</v>
      </c>
      <c r="G58" s="151"/>
      <c r="H58" s="165"/>
      <c r="I58" s="131"/>
      <c r="J58" s="165"/>
      <c r="K58" s="165"/>
      <c r="L58" s="165" t="s">
        <v>232</v>
      </c>
      <c r="M58" s="1"/>
      <c r="O58" s="1"/>
      <c r="Q58" s="1"/>
      <c r="R58" s="1"/>
    </row>
    <row r="59" spans="1:18" ht="25.15" customHeight="1" x14ac:dyDescent="0.25">
      <c r="A59" s="130" t="s">
        <v>145</v>
      </c>
      <c r="B59" s="191">
        <v>7</v>
      </c>
      <c r="C59" s="183">
        <f>B59-(((G59*7)+(H59*90)+(I59*135))/200)+K59</f>
        <v>7</v>
      </c>
      <c r="D59" s="176">
        <f>出貨統計表!O17+G59</f>
        <v>70</v>
      </c>
      <c r="E59" s="134">
        <f>出貨統計表!G68+H59</f>
        <v>37</v>
      </c>
      <c r="F59" s="154"/>
      <c r="G59" s="151"/>
      <c r="H59" s="165"/>
      <c r="I59" s="184"/>
      <c r="J59" s="165"/>
      <c r="K59" s="165"/>
      <c r="L59" s="165" t="s">
        <v>232</v>
      </c>
      <c r="M59" s="1"/>
      <c r="O59" s="1"/>
      <c r="Q59" s="1"/>
      <c r="R59" s="1"/>
    </row>
    <row r="60" spans="1:18" ht="25.15" customHeight="1" x14ac:dyDescent="0.25">
      <c r="A60" s="130" t="s">
        <v>143</v>
      </c>
      <c r="B60" s="191">
        <v>6.5</v>
      </c>
      <c r="C60" s="183">
        <f>B60-(((G60*7)+(H60*90)+(I60*135))/200)+K60</f>
        <v>6.5</v>
      </c>
      <c r="D60" s="176">
        <f>出貨統計表!O26+G60</f>
        <v>0</v>
      </c>
      <c r="E60" s="134">
        <f>出貨統計表!G69+H60</f>
        <v>63</v>
      </c>
      <c r="F60" s="154"/>
      <c r="G60" s="151"/>
      <c r="H60" s="165"/>
      <c r="I60" s="184"/>
      <c r="J60" s="165"/>
      <c r="K60" s="165"/>
      <c r="L60" s="165" t="s">
        <v>232</v>
      </c>
      <c r="M60" s="1"/>
      <c r="O60" s="1"/>
      <c r="Q60" s="1"/>
      <c r="R60" s="1"/>
    </row>
    <row r="61" spans="1:18" ht="25.15" customHeight="1" x14ac:dyDescent="0.25">
      <c r="A61" s="130" t="s">
        <v>135</v>
      </c>
      <c r="B61" s="191">
        <v>7.5</v>
      </c>
      <c r="C61" s="183">
        <f>B61-(((G61*7)+(H61*90)+(I61*135))/200)+K61</f>
        <v>7.5</v>
      </c>
      <c r="D61" s="176">
        <f>出貨統計表!O27+G61</f>
        <v>0</v>
      </c>
      <c r="E61" s="134">
        <f>出貨統計表!G70+H61</f>
        <v>41</v>
      </c>
      <c r="F61" s="154"/>
      <c r="G61" s="151"/>
      <c r="H61" s="165"/>
      <c r="I61" s="184"/>
      <c r="J61" s="165"/>
      <c r="K61" s="165"/>
      <c r="L61" s="165" t="s">
        <v>232</v>
      </c>
      <c r="M61" s="1"/>
      <c r="O61" s="1"/>
      <c r="Q61" s="1"/>
      <c r="R61" s="1"/>
    </row>
    <row r="62" spans="1:18" ht="40.5" x14ac:dyDescent="0.25">
      <c r="A62" s="133" t="s">
        <v>140</v>
      </c>
      <c r="B62" s="170" t="s">
        <v>242</v>
      </c>
      <c r="C62" s="169" t="s">
        <v>243</v>
      </c>
      <c r="D62" s="174" t="s">
        <v>215</v>
      </c>
      <c r="E62" s="157" t="s">
        <v>204</v>
      </c>
      <c r="F62" s="157" t="s">
        <v>205</v>
      </c>
      <c r="G62" s="153" t="s">
        <v>210</v>
      </c>
      <c r="H62" s="156" t="s">
        <v>152</v>
      </c>
      <c r="I62" s="156" t="s">
        <v>151</v>
      </c>
      <c r="J62" s="153" t="s">
        <v>216</v>
      </c>
      <c r="K62" s="203" t="s">
        <v>223</v>
      </c>
      <c r="L62" s="204"/>
      <c r="M62" s="1"/>
      <c r="O62" s="1"/>
      <c r="Q62" s="1"/>
      <c r="R62" s="1"/>
    </row>
    <row r="63" spans="1:18" ht="25.15" customHeight="1" x14ac:dyDescent="0.25">
      <c r="A63" s="130" t="s">
        <v>159</v>
      </c>
      <c r="B63" s="166"/>
      <c r="C63" s="167"/>
      <c r="D63" s="192"/>
      <c r="E63" s="134">
        <f>出貨統計表!G71+H63</f>
        <v>58</v>
      </c>
      <c r="F63" s="134">
        <f>出貨統計表!H71+I63</f>
        <v>91</v>
      </c>
      <c r="G63" s="185"/>
      <c r="H63" s="165">
        <v>30</v>
      </c>
      <c r="I63" s="165">
        <v>61</v>
      </c>
      <c r="J63" s="165"/>
      <c r="K63" s="250"/>
      <c r="L63" s="251"/>
      <c r="M63" s="1"/>
      <c r="O63" s="1"/>
      <c r="Q63" s="1"/>
      <c r="R63" s="1"/>
    </row>
    <row r="64" spans="1:18" ht="25.15" customHeight="1" x14ac:dyDescent="0.25">
      <c r="A64" s="130" t="s">
        <v>124</v>
      </c>
      <c r="B64" s="191">
        <v>15</v>
      </c>
      <c r="C64" s="183">
        <f>B64-(((G64*7)+(H64*90)+(I64*135)+(H63*15)+(I63*22.5))/300)+K64</f>
        <v>8.9250000000000007</v>
      </c>
      <c r="D64" s="176">
        <f>出貨統計表!O18+G64</f>
        <v>32</v>
      </c>
      <c r="E64" s="134">
        <f>出貨統計表!G72+H64</f>
        <v>22</v>
      </c>
      <c r="F64" s="134">
        <f>出貨統計表!H72+I64</f>
        <v>32</v>
      </c>
      <c r="G64" s="151"/>
      <c r="H64" s="165"/>
      <c r="I64" s="165"/>
      <c r="J64" s="165"/>
      <c r="K64" s="165"/>
      <c r="L64" s="165" t="s">
        <v>232</v>
      </c>
      <c r="M64" s="1"/>
      <c r="O64" s="1"/>
      <c r="Q64" s="1"/>
      <c r="R64" s="1"/>
    </row>
    <row r="65" spans="1:18" ht="25.15" customHeight="1" x14ac:dyDescent="0.25">
      <c r="A65" s="130" t="s">
        <v>128</v>
      </c>
      <c r="B65" s="191">
        <v>17.783333333333331</v>
      </c>
      <c r="C65" s="183">
        <f>B65-(((G65*7)+(H65*90)+(H63*15)+(I63*22.5))/300)+K65</f>
        <v>11.708333333333332</v>
      </c>
      <c r="D65" s="176">
        <f>出貨統計表!O19+G65</f>
        <v>81</v>
      </c>
      <c r="E65" s="134">
        <f>出貨統計表!G73+H65</f>
        <v>30</v>
      </c>
      <c r="F65" s="154"/>
      <c r="G65" s="151"/>
      <c r="H65" s="165"/>
      <c r="I65" s="184"/>
      <c r="J65" s="165"/>
      <c r="K65" s="165"/>
      <c r="L65" s="165" t="s">
        <v>232</v>
      </c>
      <c r="M65" s="1"/>
      <c r="O65" s="1"/>
      <c r="Q65" s="1"/>
      <c r="R65" s="1"/>
    </row>
    <row r="66" spans="1:18" ht="25.15" customHeight="1" x14ac:dyDescent="0.25">
      <c r="A66" s="130" t="s">
        <v>127</v>
      </c>
      <c r="B66" s="191">
        <v>12</v>
      </c>
      <c r="C66" s="183">
        <f>B66-(((G66*7)+(H66*90)+(H63*15)+(I63*22.5))/300)+K66</f>
        <v>5.9249999999999998</v>
      </c>
      <c r="D66" s="176">
        <f>出貨統計表!O20+G66</f>
        <v>44</v>
      </c>
      <c r="E66" s="134">
        <f>出貨統計表!G74+H66</f>
        <v>43</v>
      </c>
      <c r="F66" s="154"/>
      <c r="G66" s="151"/>
      <c r="H66" s="165"/>
      <c r="I66" s="184"/>
      <c r="J66" s="165"/>
      <c r="K66" s="165"/>
      <c r="L66" s="165" t="s">
        <v>232</v>
      </c>
      <c r="M66" s="1"/>
      <c r="O66" s="1"/>
      <c r="Q66" s="1"/>
      <c r="R66" s="1"/>
    </row>
    <row r="67" spans="1:18" ht="25.15" customHeight="1" x14ac:dyDescent="0.25">
      <c r="A67" s="130" t="s">
        <v>126</v>
      </c>
      <c r="B67" s="191">
        <v>8</v>
      </c>
      <c r="C67" s="183">
        <f>B67-(((G67*7)+(H67*90)+(H63*15)+(I63*22.5))/300)+K67</f>
        <v>1.9249999999999998</v>
      </c>
      <c r="D67" s="176">
        <f>出貨統計表!O28+G67</f>
        <v>0</v>
      </c>
      <c r="E67" s="134">
        <f>出貨統計表!G75+H67</f>
        <v>38</v>
      </c>
      <c r="F67" s="154"/>
      <c r="G67" s="151"/>
      <c r="H67" s="165"/>
      <c r="I67" s="184"/>
      <c r="J67" s="165"/>
      <c r="K67" s="165"/>
      <c r="L67" s="165" t="s">
        <v>232</v>
      </c>
      <c r="M67" s="1"/>
      <c r="O67" s="1"/>
      <c r="Q67" s="1"/>
      <c r="R67" s="1"/>
    </row>
    <row r="68" spans="1:18" ht="25.15" customHeight="1" x14ac:dyDescent="0.25">
      <c r="A68" s="130" t="s">
        <v>129</v>
      </c>
      <c r="B68" s="191">
        <v>9.5</v>
      </c>
      <c r="C68" s="183">
        <f>B68-(((G68*7)+(H68*90)+(H63*15)+(I63*22.5))/300)+K68</f>
        <v>3.4249999999999998</v>
      </c>
      <c r="D68" s="176">
        <f>出貨統計表!O29+G68</f>
        <v>0</v>
      </c>
      <c r="E68" s="134">
        <f>出貨統計表!G76+H68</f>
        <v>34</v>
      </c>
      <c r="F68" s="154"/>
      <c r="G68" s="151"/>
      <c r="H68" s="165"/>
      <c r="I68" s="184"/>
      <c r="J68" s="165"/>
      <c r="K68" s="165"/>
      <c r="L68" s="165" t="s">
        <v>232</v>
      </c>
      <c r="M68" s="1"/>
      <c r="O68" s="1"/>
      <c r="Q68" s="1"/>
      <c r="R68" s="1"/>
    </row>
    <row r="69" spans="1:18" ht="40.5" x14ac:dyDescent="0.25">
      <c r="A69" s="133" t="s">
        <v>245</v>
      </c>
      <c r="B69" s="170" t="s">
        <v>252</v>
      </c>
      <c r="C69" s="169" t="s">
        <v>251</v>
      </c>
      <c r="D69" s="174" t="s">
        <v>215</v>
      </c>
      <c r="E69" s="157" t="s">
        <v>247</v>
      </c>
      <c r="F69" s="157" t="s">
        <v>205</v>
      </c>
      <c r="G69" s="153" t="s">
        <v>211</v>
      </c>
      <c r="H69" s="156" t="s">
        <v>248</v>
      </c>
      <c r="I69" s="156" t="s">
        <v>151</v>
      </c>
      <c r="J69" s="153" t="s">
        <v>216</v>
      </c>
      <c r="K69" s="218" t="s">
        <v>249</v>
      </c>
      <c r="L69" s="219"/>
      <c r="M69" s="1"/>
      <c r="O69" s="1"/>
      <c r="Q69" s="1"/>
      <c r="R69" s="1"/>
    </row>
    <row r="70" spans="1:18" ht="25.15" customHeight="1" x14ac:dyDescent="0.25">
      <c r="A70" s="131" t="s">
        <v>246</v>
      </c>
      <c r="B70" s="166"/>
      <c r="C70" s="167"/>
      <c r="D70" s="192"/>
      <c r="E70" s="134">
        <f>出貨統計表!G77+H70</f>
        <v>190</v>
      </c>
      <c r="F70" s="154"/>
      <c r="G70" s="184"/>
      <c r="H70" s="165"/>
      <c r="I70" s="184"/>
      <c r="J70" s="165"/>
      <c r="K70" s="243"/>
      <c r="L70" s="244"/>
      <c r="M70" s="1"/>
      <c r="O70" s="1"/>
      <c r="Q70" s="1"/>
      <c r="R70" s="1"/>
    </row>
  </sheetData>
  <mergeCells count="122">
    <mergeCell ref="F38:G38"/>
    <mergeCell ref="F39:G39"/>
    <mergeCell ref="F40:G40"/>
    <mergeCell ref="D30:E30"/>
    <mergeCell ref="D31:E31"/>
    <mergeCell ref="D32:E32"/>
    <mergeCell ref="D33:E33"/>
    <mergeCell ref="D34:E34"/>
    <mergeCell ref="D35:E35"/>
    <mergeCell ref="H30:I30"/>
    <mergeCell ref="H31:I31"/>
    <mergeCell ref="H32:I32"/>
    <mergeCell ref="H33:I33"/>
    <mergeCell ref="H34:I34"/>
    <mergeCell ref="H35:I35"/>
    <mergeCell ref="F30:G30"/>
    <mergeCell ref="F31:G31"/>
    <mergeCell ref="F32:G32"/>
    <mergeCell ref="F33:G33"/>
    <mergeCell ref="F34:G34"/>
    <mergeCell ref="F35:G35"/>
    <mergeCell ref="K30:L30"/>
    <mergeCell ref="K31:L31"/>
    <mergeCell ref="K32:L32"/>
    <mergeCell ref="K33:L33"/>
    <mergeCell ref="K34:L34"/>
    <mergeCell ref="K35:L35"/>
    <mergeCell ref="K20:L20"/>
    <mergeCell ref="K21:L21"/>
    <mergeCell ref="K22:L22"/>
    <mergeCell ref="K24:L24"/>
    <mergeCell ref="K25:L25"/>
    <mergeCell ref="K26:L26"/>
    <mergeCell ref="K27:L27"/>
    <mergeCell ref="K28:L28"/>
    <mergeCell ref="K29:L29"/>
    <mergeCell ref="K23:L23"/>
    <mergeCell ref="K11:L11"/>
    <mergeCell ref="K12:L12"/>
    <mergeCell ref="K13:L13"/>
    <mergeCell ref="K14:L14"/>
    <mergeCell ref="K15:L15"/>
    <mergeCell ref="K16:L16"/>
    <mergeCell ref="K17:L17"/>
    <mergeCell ref="K18:L18"/>
    <mergeCell ref="K19:L19"/>
    <mergeCell ref="A1:L1"/>
    <mergeCell ref="C3:J3"/>
    <mergeCell ref="C4:J4"/>
    <mergeCell ref="C5:J5"/>
    <mergeCell ref="C6:J6"/>
    <mergeCell ref="C7:J7"/>
    <mergeCell ref="C8:J8"/>
    <mergeCell ref="C9:J9"/>
    <mergeCell ref="C10:J10"/>
    <mergeCell ref="K4:L4"/>
    <mergeCell ref="K5:L5"/>
    <mergeCell ref="K6:L6"/>
    <mergeCell ref="K7:L7"/>
    <mergeCell ref="K8:L8"/>
    <mergeCell ref="K9:L9"/>
    <mergeCell ref="K10:L10"/>
    <mergeCell ref="A2:B2"/>
    <mergeCell ref="I2:J2"/>
    <mergeCell ref="K3:L3"/>
    <mergeCell ref="K46:L46"/>
    <mergeCell ref="F41:G41"/>
    <mergeCell ref="F36:G36"/>
    <mergeCell ref="K42:L42"/>
    <mergeCell ref="H36:I36"/>
    <mergeCell ref="H37:I37"/>
    <mergeCell ref="H38:I38"/>
    <mergeCell ref="H39:I39"/>
    <mergeCell ref="H42:I42"/>
    <mergeCell ref="H43:I43"/>
    <mergeCell ref="H40:I40"/>
    <mergeCell ref="H44:I44"/>
    <mergeCell ref="H45:I45"/>
    <mergeCell ref="F42:G42"/>
    <mergeCell ref="K36:L36"/>
    <mergeCell ref="K37:L37"/>
    <mergeCell ref="K38:L38"/>
    <mergeCell ref="K39:L39"/>
    <mergeCell ref="K40:L40"/>
    <mergeCell ref="K41:L41"/>
    <mergeCell ref="F43:G43"/>
    <mergeCell ref="F44:G44"/>
    <mergeCell ref="F45:G45"/>
    <mergeCell ref="H41:I41"/>
    <mergeCell ref="C11:J11"/>
    <mergeCell ref="C12:J12"/>
    <mergeCell ref="C13:J13"/>
    <mergeCell ref="C14:J14"/>
    <mergeCell ref="C15:J15"/>
    <mergeCell ref="C16:J16"/>
    <mergeCell ref="C17:J17"/>
    <mergeCell ref="C18:J18"/>
    <mergeCell ref="C19:J19"/>
    <mergeCell ref="K69:L69"/>
    <mergeCell ref="K70:L70"/>
    <mergeCell ref="C29:J29"/>
    <mergeCell ref="C20:J20"/>
    <mergeCell ref="C21:J21"/>
    <mergeCell ref="C22:J22"/>
    <mergeCell ref="C23:J23"/>
    <mergeCell ref="C24:J24"/>
    <mergeCell ref="C25:J25"/>
    <mergeCell ref="C26:J26"/>
    <mergeCell ref="C27:J27"/>
    <mergeCell ref="C28:J28"/>
    <mergeCell ref="K47:L47"/>
    <mergeCell ref="K56:L56"/>
    <mergeCell ref="K62:L62"/>
    <mergeCell ref="K55:L55"/>
    <mergeCell ref="K63:L63"/>
    <mergeCell ref="F37:G37"/>
    <mergeCell ref="D36:E36"/>
    <mergeCell ref="D37:E37"/>
    <mergeCell ref="D38:E38"/>
    <mergeCell ref="D39:E39"/>
    <mergeCell ref="D40:E40"/>
    <mergeCell ref="D41:E41"/>
  </mergeCells>
  <phoneticPr fontId="1" type="noConversion"/>
  <printOptions horizontalCentered="1" verticalCentered="1"/>
  <pageMargins left="0.19685039370078741" right="0.19685039370078741" top="0" bottom="0" header="0" footer="0"/>
  <pageSetup paperSize="9" scale="98" fitToHeight="0" orientation="portrait" r:id="rId1"/>
  <rowBreaks count="2" manualBreakCount="2">
    <brk id="29" max="16383" man="1"/>
    <brk id="45" max="16383" man="1"/>
  </rowBreak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14F7D9-0676-4986-ACC3-ABA86289F86B}">
  <dimension ref="A1:R70"/>
  <sheetViews>
    <sheetView topLeftCell="A49" zoomScale="115" zoomScaleNormal="115" workbookViewId="0">
      <selection activeCell="K5" sqref="K5"/>
    </sheetView>
  </sheetViews>
  <sheetFormatPr defaultColWidth="9" defaultRowHeight="16.5" x14ac:dyDescent="0.25"/>
  <cols>
    <col min="1" max="1" width="11.5" style="7" customWidth="1"/>
    <col min="2" max="2" width="11.375" style="143" customWidth="1"/>
    <col min="3" max="3" width="12.125" style="6" bestFit="1" customWidth="1"/>
    <col min="4" max="5" width="10" style="144" bestFit="1" customWidth="1"/>
    <col min="6" max="6" width="7.875" style="4" customWidth="1"/>
    <col min="7" max="9" width="8.25" style="4" customWidth="1"/>
    <col min="10" max="10" width="5.5" style="4" customWidth="1"/>
    <col min="11" max="11" width="8.25" style="145" customWidth="1"/>
    <col min="12" max="12" width="3.375" style="1" customWidth="1"/>
    <col min="13" max="13" width="7" style="146" customWidth="1"/>
    <col min="14" max="14" width="3.125" style="1" customWidth="1"/>
    <col min="15" max="15" width="7.875" style="144" customWidth="1"/>
    <col min="16" max="16" width="3.5" style="1" customWidth="1"/>
    <col min="17" max="17" width="9" style="4"/>
    <col min="18" max="18" width="3.625" style="4" customWidth="1"/>
    <col min="19" max="16384" width="9" style="1"/>
  </cols>
  <sheetData>
    <row r="1" spans="1:18" ht="28.15" customHeight="1" x14ac:dyDescent="0.25">
      <c r="A1" s="227" t="s">
        <v>63</v>
      </c>
      <c r="B1" s="228"/>
      <c r="C1" s="228"/>
      <c r="D1" s="228"/>
      <c r="E1" s="228"/>
      <c r="F1" s="228"/>
      <c r="G1" s="228"/>
      <c r="H1" s="228"/>
      <c r="I1" s="228"/>
      <c r="J1" s="228"/>
      <c r="K1" s="228"/>
      <c r="L1" s="228"/>
      <c r="M1" s="228"/>
      <c r="N1" s="229"/>
      <c r="O1" s="4"/>
      <c r="P1" s="4"/>
      <c r="Q1" s="1"/>
      <c r="R1" s="1"/>
    </row>
    <row r="2" spans="1:18" ht="28.15" customHeight="1" x14ac:dyDescent="0.25">
      <c r="A2" s="213" t="s">
        <v>163</v>
      </c>
      <c r="B2" s="213"/>
      <c r="C2" s="162">
        <v>115</v>
      </c>
      <c r="D2" s="163" t="s">
        <v>224</v>
      </c>
      <c r="E2" s="160">
        <v>3</v>
      </c>
      <c r="F2" s="161" t="s">
        <v>160</v>
      </c>
      <c r="G2" s="160"/>
      <c r="H2" s="164">
        <v>25</v>
      </c>
      <c r="I2" s="164" t="s">
        <v>161</v>
      </c>
      <c r="J2" s="214" t="s">
        <v>162</v>
      </c>
      <c r="K2" s="215"/>
      <c r="L2" s="213" t="s">
        <v>257</v>
      </c>
      <c r="M2" s="213"/>
      <c r="N2" s="213"/>
      <c r="O2" s="4"/>
      <c r="Q2" s="1"/>
      <c r="R2" s="1"/>
    </row>
    <row r="3" spans="1:18" ht="30" customHeight="1" x14ac:dyDescent="0.25">
      <c r="A3" s="133" t="s">
        <v>46</v>
      </c>
      <c r="B3" s="211" t="s">
        <v>226</v>
      </c>
      <c r="C3" s="212"/>
      <c r="D3" s="157" t="s">
        <v>198</v>
      </c>
      <c r="E3" s="216" t="s">
        <v>231</v>
      </c>
      <c r="F3" s="217"/>
      <c r="G3" s="218" t="s">
        <v>228</v>
      </c>
      <c r="H3" s="219"/>
      <c r="I3" s="218" t="s">
        <v>227</v>
      </c>
      <c r="J3" s="219"/>
      <c r="K3" s="4"/>
      <c r="L3" s="4"/>
      <c r="M3" s="1"/>
      <c r="O3" s="1"/>
      <c r="Q3" s="1"/>
      <c r="R3" s="1"/>
    </row>
    <row r="4" spans="1:18" ht="25.15" customHeight="1" x14ac:dyDescent="0.25">
      <c r="A4" s="130" t="s">
        <v>170</v>
      </c>
      <c r="B4" s="171"/>
      <c r="C4" s="172" t="s">
        <v>229</v>
      </c>
      <c r="D4" s="134">
        <f>'餅乾庫存(製作)'!B4</f>
        <v>3908</v>
      </c>
      <c r="E4" s="147">
        <f t="shared" ref="E4:E13" si="0">D4</f>
        <v>3908</v>
      </c>
      <c r="F4" s="141" t="s">
        <v>150</v>
      </c>
      <c r="G4" s="148">
        <v>5000</v>
      </c>
      <c r="H4" s="140" t="s">
        <v>150</v>
      </c>
      <c r="I4" s="139">
        <f t="shared" ref="I4:I13" si="1">MAX(0,G4-E4)</f>
        <v>1092</v>
      </c>
      <c r="J4" s="140" t="s">
        <v>150</v>
      </c>
      <c r="K4" s="4">
        <v>7</v>
      </c>
      <c r="L4" s="4"/>
      <c r="M4" s="1"/>
      <c r="O4" s="1"/>
      <c r="Q4" s="1"/>
      <c r="R4" s="1"/>
    </row>
    <row r="5" spans="1:18" ht="25.15" customHeight="1" x14ac:dyDescent="0.25">
      <c r="A5" s="130" t="s">
        <v>171</v>
      </c>
      <c r="B5" s="171"/>
      <c r="C5" s="172" t="s">
        <v>229</v>
      </c>
      <c r="D5" s="134">
        <f>'餅乾庫存(製作)'!B5</f>
        <v>347</v>
      </c>
      <c r="E5" s="147">
        <f t="shared" si="0"/>
        <v>347</v>
      </c>
      <c r="F5" s="141" t="s">
        <v>150</v>
      </c>
      <c r="G5" s="148">
        <v>600</v>
      </c>
      <c r="H5" s="140" t="s">
        <v>150</v>
      </c>
      <c r="I5" s="139">
        <f t="shared" si="1"/>
        <v>253</v>
      </c>
      <c r="J5" s="140" t="s">
        <v>150</v>
      </c>
      <c r="K5" s="4">
        <v>3</v>
      </c>
      <c r="L5" s="4"/>
      <c r="M5" s="1"/>
      <c r="O5" s="1"/>
      <c r="Q5" s="1"/>
      <c r="R5" s="1"/>
    </row>
    <row r="6" spans="1:18" ht="25.15" customHeight="1" x14ac:dyDescent="0.25">
      <c r="A6" s="130" t="s">
        <v>172</v>
      </c>
      <c r="B6" s="171"/>
      <c r="C6" s="172" t="s">
        <v>229</v>
      </c>
      <c r="D6" s="134">
        <f>'餅乾庫存(製作)'!B6</f>
        <v>297</v>
      </c>
      <c r="E6" s="147">
        <f t="shared" si="0"/>
        <v>297</v>
      </c>
      <c r="F6" s="141" t="s">
        <v>150</v>
      </c>
      <c r="G6" s="148">
        <v>400</v>
      </c>
      <c r="H6" s="140" t="s">
        <v>150</v>
      </c>
      <c r="I6" s="139">
        <f t="shared" si="1"/>
        <v>103</v>
      </c>
      <c r="J6" s="140" t="s">
        <v>150</v>
      </c>
      <c r="K6" s="4">
        <v>2</v>
      </c>
      <c r="L6" s="4"/>
      <c r="M6" s="1"/>
      <c r="O6" s="1"/>
      <c r="Q6" s="1"/>
      <c r="R6" s="1"/>
    </row>
    <row r="7" spans="1:18" ht="25.15" customHeight="1" x14ac:dyDescent="0.25">
      <c r="A7" s="130" t="s">
        <v>173</v>
      </c>
      <c r="B7" s="171"/>
      <c r="C7" s="172" t="s">
        <v>229</v>
      </c>
      <c r="D7" s="134">
        <f>'餅乾庫存(製作)'!B7</f>
        <v>210</v>
      </c>
      <c r="E7" s="147">
        <f t="shared" si="0"/>
        <v>210</v>
      </c>
      <c r="F7" s="141" t="s">
        <v>150</v>
      </c>
      <c r="G7" s="148">
        <v>300</v>
      </c>
      <c r="H7" s="140" t="s">
        <v>150</v>
      </c>
      <c r="I7" s="139">
        <f t="shared" si="1"/>
        <v>90</v>
      </c>
      <c r="J7" s="140" t="s">
        <v>150</v>
      </c>
      <c r="K7" s="4">
        <v>2</v>
      </c>
      <c r="L7" s="4"/>
      <c r="M7" s="1"/>
      <c r="O7" s="1"/>
      <c r="Q7" s="1"/>
      <c r="R7" s="1"/>
    </row>
    <row r="8" spans="1:18" ht="25.15" customHeight="1" x14ac:dyDescent="0.25">
      <c r="A8" s="130" t="s">
        <v>174</v>
      </c>
      <c r="B8" s="171"/>
      <c r="C8" s="172" t="s">
        <v>229</v>
      </c>
      <c r="D8" s="134">
        <f>'餅乾庫存(製作)'!B8</f>
        <v>247</v>
      </c>
      <c r="E8" s="147">
        <f t="shared" si="0"/>
        <v>247</v>
      </c>
      <c r="F8" s="141" t="s">
        <v>150</v>
      </c>
      <c r="G8" s="148">
        <v>300</v>
      </c>
      <c r="H8" s="140" t="s">
        <v>150</v>
      </c>
      <c r="I8" s="139">
        <f t="shared" si="1"/>
        <v>53</v>
      </c>
      <c r="J8" s="140" t="s">
        <v>150</v>
      </c>
      <c r="K8" s="4">
        <v>2</v>
      </c>
      <c r="L8" s="4"/>
      <c r="M8" s="1"/>
      <c r="O8" s="1"/>
      <c r="Q8" s="1"/>
      <c r="R8" s="1"/>
    </row>
    <row r="9" spans="1:18" ht="25.15" customHeight="1" x14ac:dyDescent="0.25">
      <c r="A9" s="130" t="s">
        <v>169</v>
      </c>
      <c r="B9" s="171"/>
      <c r="C9" s="172" t="s">
        <v>229</v>
      </c>
      <c r="D9" s="134">
        <f>'餅乾庫存(製作)'!B9</f>
        <v>381</v>
      </c>
      <c r="E9" s="147">
        <f t="shared" si="0"/>
        <v>381</v>
      </c>
      <c r="F9" s="141" t="s">
        <v>150</v>
      </c>
      <c r="G9" s="148">
        <v>1000</v>
      </c>
      <c r="H9" s="140" t="s">
        <v>150</v>
      </c>
      <c r="I9" s="139">
        <f t="shared" si="1"/>
        <v>619</v>
      </c>
      <c r="J9" s="140" t="s">
        <v>150</v>
      </c>
      <c r="K9" s="4">
        <v>3</v>
      </c>
      <c r="L9" s="4"/>
      <c r="M9" s="1"/>
      <c r="O9" s="1"/>
      <c r="Q9" s="1"/>
      <c r="R9" s="1"/>
    </row>
    <row r="10" spans="1:18" ht="25.15" customHeight="1" x14ac:dyDescent="0.25">
      <c r="A10" s="130" t="s">
        <v>168</v>
      </c>
      <c r="B10" s="171"/>
      <c r="C10" s="172" t="s">
        <v>229</v>
      </c>
      <c r="D10" s="134">
        <f>'餅乾庫存(製作)'!B10</f>
        <v>239</v>
      </c>
      <c r="E10" s="147">
        <f t="shared" si="0"/>
        <v>239</v>
      </c>
      <c r="F10" s="141" t="s">
        <v>150</v>
      </c>
      <c r="G10" s="148">
        <v>500</v>
      </c>
      <c r="H10" s="140" t="s">
        <v>150</v>
      </c>
      <c r="I10" s="139">
        <f t="shared" si="1"/>
        <v>261</v>
      </c>
      <c r="J10" s="140" t="s">
        <v>150</v>
      </c>
      <c r="K10" s="4">
        <v>3</v>
      </c>
      <c r="L10" s="4"/>
      <c r="M10" s="1"/>
      <c r="O10" s="1"/>
      <c r="Q10" s="1"/>
      <c r="R10" s="1"/>
    </row>
    <row r="11" spans="1:18" ht="25.15" customHeight="1" x14ac:dyDescent="0.25">
      <c r="A11" s="130" t="s">
        <v>167</v>
      </c>
      <c r="B11" s="171"/>
      <c r="C11" s="172" t="s">
        <v>229</v>
      </c>
      <c r="D11" s="134">
        <f>'餅乾庫存(製作)'!B11</f>
        <v>50</v>
      </c>
      <c r="E11" s="147">
        <f t="shared" si="0"/>
        <v>50</v>
      </c>
      <c r="F11" s="141" t="s">
        <v>150</v>
      </c>
      <c r="G11" s="148">
        <v>200</v>
      </c>
      <c r="H11" s="140" t="s">
        <v>150</v>
      </c>
      <c r="I11" s="139">
        <f t="shared" si="1"/>
        <v>150</v>
      </c>
      <c r="J11" s="140" t="s">
        <v>150</v>
      </c>
      <c r="K11" s="4">
        <v>4</v>
      </c>
      <c r="L11" s="4"/>
      <c r="M11" s="1"/>
      <c r="O11" s="1"/>
      <c r="Q11" s="1"/>
      <c r="R11" s="1"/>
    </row>
    <row r="12" spans="1:18" ht="25.15" customHeight="1" x14ac:dyDescent="0.25">
      <c r="A12" s="130" t="s">
        <v>166</v>
      </c>
      <c r="B12" s="171"/>
      <c r="C12" s="172" t="s">
        <v>229</v>
      </c>
      <c r="D12" s="134">
        <f>'餅乾庫存(製作)'!B12</f>
        <v>258</v>
      </c>
      <c r="E12" s="147">
        <f t="shared" si="0"/>
        <v>258</v>
      </c>
      <c r="F12" s="141" t="s">
        <v>150</v>
      </c>
      <c r="G12" s="148">
        <v>300</v>
      </c>
      <c r="H12" s="140" t="s">
        <v>150</v>
      </c>
      <c r="I12" s="139">
        <f t="shared" si="1"/>
        <v>42</v>
      </c>
      <c r="J12" s="140" t="s">
        <v>150</v>
      </c>
      <c r="K12" s="4">
        <v>2</v>
      </c>
      <c r="L12" s="4"/>
      <c r="M12" s="1"/>
      <c r="O12" s="1"/>
      <c r="Q12" s="1"/>
      <c r="R12" s="1"/>
    </row>
    <row r="13" spans="1:18" ht="25.15" customHeight="1" x14ac:dyDescent="0.25">
      <c r="A13" s="130" t="s">
        <v>165</v>
      </c>
      <c r="B13" s="171"/>
      <c r="C13" s="172" t="s">
        <v>229</v>
      </c>
      <c r="D13" s="134">
        <f>'餅乾庫存(製作)'!B13</f>
        <v>148</v>
      </c>
      <c r="E13" s="147">
        <f t="shared" si="0"/>
        <v>148</v>
      </c>
      <c r="F13" s="141" t="s">
        <v>150</v>
      </c>
      <c r="G13" s="148">
        <v>200</v>
      </c>
      <c r="H13" s="140" t="s">
        <v>150</v>
      </c>
      <c r="I13" s="139">
        <f t="shared" si="1"/>
        <v>52</v>
      </c>
      <c r="J13" s="140" t="s">
        <v>150</v>
      </c>
      <c r="K13" s="4">
        <v>2</v>
      </c>
      <c r="L13" s="4"/>
      <c r="M13" s="1"/>
      <c r="O13" s="1"/>
      <c r="Q13" s="1"/>
      <c r="R13" s="1"/>
    </row>
    <row r="14" spans="1:18" ht="30" customHeight="1" x14ac:dyDescent="0.25">
      <c r="A14" s="133" t="s">
        <v>156</v>
      </c>
      <c r="B14" s="211"/>
      <c r="C14" s="212"/>
      <c r="D14" s="157" t="s">
        <v>198</v>
      </c>
      <c r="E14" s="216" t="s">
        <v>231</v>
      </c>
      <c r="F14" s="217"/>
      <c r="G14" s="218" t="s">
        <v>228</v>
      </c>
      <c r="H14" s="219"/>
      <c r="I14" s="218" t="s">
        <v>227</v>
      </c>
      <c r="J14" s="219"/>
      <c r="K14" s="4">
        <f>SUM(K4:K13)</f>
        <v>30</v>
      </c>
      <c r="L14" s="4"/>
      <c r="M14" s="1"/>
      <c r="O14" s="1"/>
      <c r="Q14" s="1"/>
      <c r="R14" s="1"/>
    </row>
    <row r="15" spans="1:18" ht="25.15" customHeight="1" x14ac:dyDescent="0.25">
      <c r="A15" s="130" t="s">
        <v>157</v>
      </c>
      <c r="B15" s="171"/>
      <c r="C15" s="173"/>
      <c r="D15" s="134">
        <f>'餅乾庫存(製作)'!B15</f>
        <v>94</v>
      </c>
      <c r="E15" s="147">
        <f>D15</f>
        <v>94</v>
      </c>
      <c r="F15" s="141" t="s">
        <v>150</v>
      </c>
      <c r="G15" s="137"/>
      <c r="H15" s="140" t="s">
        <v>150</v>
      </c>
      <c r="I15" s="139">
        <f>MAX(0,G15-E15)</f>
        <v>0</v>
      </c>
      <c r="J15" s="140" t="s">
        <v>150</v>
      </c>
      <c r="K15" s="4"/>
      <c r="L15" s="4"/>
      <c r="M15" s="1"/>
      <c r="O15" s="1"/>
      <c r="Q15" s="1"/>
      <c r="R15" s="1"/>
    </row>
    <row r="16" spans="1:18" ht="25.15" customHeight="1" x14ac:dyDescent="0.25">
      <c r="A16" s="130" t="s">
        <v>158</v>
      </c>
      <c r="B16" s="171"/>
      <c r="C16" s="173"/>
      <c r="D16" s="134">
        <f>'餅乾庫存(製作)'!B16</f>
        <v>3</v>
      </c>
      <c r="E16" s="147">
        <f>D16</f>
        <v>3</v>
      </c>
      <c r="F16" s="141" t="s">
        <v>150</v>
      </c>
      <c r="G16" s="137"/>
      <c r="H16" s="140" t="s">
        <v>150</v>
      </c>
      <c r="I16" s="139">
        <f>MAX(0,G16-E16)</f>
        <v>0</v>
      </c>
      <c r="J16" s="140" t="s">
        <v>150</v>
      </c>
      <c r="K16" s="4"/>
      <c r="L16" s="4"/>
      <c r="M16" s="1"/>
      <c r="O16" s="1"/>
      <c r="Q16" s="1"/>
      <c r="R16" s="1"/>
    </row>
    <row r="17" spans="1:18" ht="30" customHeight="1" x14ac:dyDescent="0.25">
      <c r="A17" s="133" t="s">
        <v>78</v>
      </c>
      <c r="B17" s="207" t="s">
        <v>226</v>
      </c>
      <c r="C17" s="208"/>
      <c r="D17" s="157" t="s">
        <v>198</v>
      </c>
      <c r="E17" s="216" t="s">
        <v>231</v>
      </c>
      <c r="F17" s="217"/>
      <c r="G17" s="218" t="s">
        <v>228</v>
      </c>
      <c r="H17" s="219"/>
      <c r="I17" s="218" t="s">
        <v>227</v>
      </c>
      <c r="J17" s="219"/>
      <c r="K17" s="4"/>
      <c r="L17" s="4"/>
      <c r="M17" s="1"/>
      <c r="O17" s="1"/>
      <c r="Q17" s="1"/>
      <c r="R17" s="1"/>
    </row>
    <row r="18" spans="1:18" ht="25.15" customHeight="1" x14ac:dyDescent="0.25">
      <c r="A18" s="130" t="s">
        <v>164</v>
      </c>
      <c r="B18" s="171">
        <v>3</v>
      </c>
      <c r="C18" s="172" t="s">
        <v>230</v>
      </c>
      <c r="D18" s="134">
        <f>'餅乾庫存(製作)'!B18</f>
        <v>575</v>
      </c>
      <c r="E18" s="147">
        <f>D18</f>
        <v>575</v>
      </c>
      <c r="F18" s="141" t="s">
        <v>199</v>
      </c>
      <c r="G18" s="137">
        <v>480</v>
      </c>
      <c r="H18" s="140" t="s">
        <v>199</v>
      </c>
      <c r="I18" s="139">
        <f>MAX(0,G18-E18)</f>
        <v>0</v>
      </c>
      <c r="J18" s="140" t="s">
        <v>199</v>
      </c>
      <c r="K18" s="4"/>
      <c r="L18" s="4"/>
      <c r="M18" s="1"/>
      <c r="O18" s="1"/>
      <c r="Q18" s="1"/>
      <c r="R18" s="1"/>
    </row>
    <row r="19" spans="1:18" ht="25.15" customHeight="1" x14ac:dyDescent="0.25">
      <c r="A19" s="149" t="s">
        <v>175</v>
      </c>
      <c r="B19" s="171"/>
      <c r="C19" s="172" t="s">
        <v>230</v>
      </c>
      <c r="D19" s="134">
        <f>'餅乾庫存(製作)'!B19</f>
        <v>327</v>
      </c>
      <c r="E19" s="147">
        <f>D19</f>
        <v>327</v>
      </c>
      <c r="F19" s="141" t="s">
        <v>199</v>
      </c>
      <c r="G19" s="137">
        <v>240</v>
      </c>
      <c r="H19" s="140" t="s">
        <v>199</v>
      </c>
      <c r="I19" s="139">
        <f>MAX(0,G19-E19)</f>
        <v>0</v>
      </c>
      <c r="J19" s="140" t="s">
        <v>199</v>
      </c>
      <c r="K19" s="4"/>
      <c r="L19" s="4"/>
      <c r="M19" s="1"/>
      <c r="O19" s="1"/>
      <c r="Q19" s="1"/>
      <c r="R19" s="1"/>
    </row>
    <row r="20" spans="1:18" ht="25.15" customHeight="1" x14ac:dyDescent="0.25">
      <c r="A20" s="149" t="s">
        <v>176</v>
      </c>
      <c r="B20" s="171"/>
      <c r="C20" s="172" t="s">
        <v>230</v>
      </c>
      <c r="D20" s="134">
        <f>'餅乾庫存(製作)'!B20</f>
        <v>162</v>
      </c>
      <c r="E20" s="147">
        <f>D20</f>
        <v>162</v>
      </c>
      <c r="F20" s="141" t="s">
        <v>199</v>
      </c>
      <c r="G20" s="137">
        <v>120</v>
      </c>
      <c r="H20" s="140" t="s">
        <v>199</v>
      </c>
      <c r="I20" s="139">
        <f>MAX(0,G20-E20)</f>
        <v>0</v>
      </c>
      <c r="J20" s="140" t="s">
        <v>199</v>
      </c>
      <c r="K20" s="4"/>
      <c r="L20" s="4"/>
      <c r="M20" s="1"/>
      <c r="O20" s="1"/>
      <c r="Q20" s="1"/>
      <c r="R20" s="1"/>
    </row>
    <row r="21" spans="1:18" ht="25.15" customHeight="1" x14ac:dyDescent="0.25">
      <c r="A21" s="149" t="s">
        <v>177</v>
      </c>
      <c r="B21" s="171">
        <v>3</v>
      </c>
      <c r="C21" s="172" t="s">
        <v>230</v>
      </c>
      <c r="D21" s="134">
        <f>'餅乾庫存(製作)'!B21</f>
        <v>384</v>
      </c>
      <c r="E21" s="147">
        <f>D21</f>
        <v>384</v>
      </c>
      <c r="F21" s="141" t="s">
        <v>199</v>
      </c>
      <c r="G21" s="137">
        <v>120</v>
      </c>
      <c r="H21" s="140" t="s">
        <v>199</v>
      </c>
      <c r="I21" s="139">
        <f>MAX(0,G21-E21)</f>
        <v>0</v>
      </c>
      <c r="J21" s="140" t="s">
        <v>199</v>
      </c>
      <c r="K21" s="4"/>
      <c r="L21" s="4"/>
      <c r="M21" s="1"/>
      <c r="O21" s="1"/>
      <c r="Q21" s="1"/>
      <c r="R21" s="1"/>
    </row>
    <row r="22" spans="1:18" ht="25.15" customHeight="1" x14ac:dyDescent="0.25">
      <c r="A22" s="149" t="s">
        <v>178</v>
      </c>
      <c r="B22" s="171"/>
      <c r="C22" s="172" t="s">
        <v>230</v>
      </c>
      <c r="D22" s="134">
        <f>'餅乾庫存(製作)'!B22</f>
        <v>97</v>
      </c>
      <c r="E22" s="147">
        <f>D22</f>
        <v>97</v>
      </c>
      <c r="F22" s="141" t="s">
        <v>199</v>
      </c>
      <c r="G22" s="137">
        <v>80</v>
      </c>
      <c r="H22" s="140" t="s">
        <v>199</v>
      </c>
      <c r="I22" s="139">
        <f>MAX(0,G22-E22)</f>
        <v>0</v>
      </c>
      <c r="J22" s="140" t="s">
        <v>199</v>
      </c>
      <c r="K22" s="4"/>
      <c r="L22" s="4"/>
      <c r="M22" s="1"/>
      <c r="O22" s="1"/>
      <c r="Q22" s="1"/>
      <c r="R22" s="1"/>
    </row>
    <row r="23" spans="1:18" ht="30" customHeight="1" x14ac:dyDescent="0.25">
      <c r="A23" s="133" t="s">
        <v>179</v>
      </c>
      <c r="B23" s="211" t="s">
        <v>226</v>
      </c>
      <c r="C23" s="212"/>
      <c r="D23" s="157" t="s">
        <v>198</v>
      </c>
      <c r="E23" s="216" t="s">
        <v>231</v>
      </c>
      <c r="F23" s="217"/>
      <c r="G23" s="218" t="s">
        <v>228</v>
      </c>
      <c r="H23" s="219"/>
      <c r="I23" s="218" t="s">
        <v>227</v>
      </c>
      <c r="J23" s="219"/>
      <c r="K23" s="4"/>
      <c r="L23" s="4"/>
      <c r="M23" s="1"/>
      <c r="O23" s="1"/>
      <c r="Q23" s="1"/>
      <c r="R23" s="1"/>
    </row>
    <row r="24" spans="1:18" ht="25.15" customHeight="1" x14ac:dyDescent="0.25">
      <c r="A24" s="150" t="s">
        <v>180</v>
      </c>
      <c r="B24" s="171"/>
      <c r="C24" s="172" t="s">
        <v>230</v>
      </c>
      <c r="D24" s="134">
        <f>'餅乾庫存(製作)'!B24</f>
        <v>299</v>
      </c>
      <c r="E24" s="147">
        <f t="shared" ref="E24:E29" si="2">D24</f>
        <v>299</v>
      </c>
      <c r="F24" s="141" t="s">
        <v>150</v>
      </c>
      <c r="G24" s="137">
        <v>100</v>
      </c>
      <c r="H24" s="140" t="s">
        <v>150</v>
      </c>
      <c r="I24" s="139">
        <f t="shared" ref="I24:I29" si="3">MAX(0,G24-E24)</f>
        <v>0</v>
      </c>
      <c r="J24" s="140" t="s">
        <v>150</v>
      </c>
      <c r="K24" s="4"/>
      <c r="L24" s="4"/>
      <c r="M24" s="1"/>
      <c r="O24" s="1"/>
      <c r="Q24" s="1"/>
      <c r="R24" s="1"/>
    </row>
    <row r="25" spans="1:18" ht="25.15" customHeight="1" x14ac:dyDescent="0.25">
      <c r="A25" s="150" t="s">
        <v>181</v>
      </c>
      <c r="B25" s="171"/>
      <c r="C25" s="172" t="s">
        <v>230</v>
      </c>
      <c r="D25" s="134">
        <f>'餅乾庫存(製作)'!B25</f>
        <v>76</v>
      </c>
      <c r="E25" s="147">
        <f t="shared" si="2"/>
        <v>76</v>
      </c>
      <c r="F25" s="141" t="s">
        <v>150</v>
      </c>
      <c r="G25" s="137">
        <v>100</v>
      </c>
      <c r="H25" s="140" t="s">
        <v>150</v>
      </c>
      <c r="I25" s="139">
        <f t="shared" si="3"/>
        <v>24</v>
      </c>
      <c r="J25" s="140" t="s">
        <v>150</v>
      </c>
      <c r="K25" s="4">
        <v>1</v>
      </c>
      <c r="L25" s="4"/>
      <c r="M25" s="1"/>
      <c r="O25" s="1"/>
      <c r="Q25" s="1"/>
      <c r="R25" s="1"/>
    </row>
    <row r="26" spans="1:18" ht="25.15" customHeight="1" x14ac:dyDescent="0.25">
      <c r="A26" s="150" t="s">
        <v>182</v>
      </c>
      <c r="B26" s="171"/>
      <c r="C26" s="172" t="s">
        <v>230</v>
      </c>
      <c r="D26" s="134">
        <f>'餅乾庫存(製作)'!B26</f>
        <v>81</v>
      </c>
      <c r="E26" s="147">
        <f t="shared" si="2"/>
        <v>81</v>
      </c>
      <c r="F26" s="141" t="s">
        <v>150</v>
      </c>
      <c r="G26" s="137">
        <v>100</v>
      </c>
      <c r="H26" s="140" t="s">
        <v>150</v>
      </c>
      <c r="I26" s="139">
        <f t="shared" si="3"/>
        <v>19</v>
      </c>
      <c r="J26" s="140" t="s">
        <v>150</v>
      </c>
      <c r="K26" s="4">
        <v>1</v>
      </c>
      <c r="L26" s="4"/>
      <c r="M26" s="1"/>
      <c r="O26" s="1"/>
      <c r="Q26" s="1"/>
      <c r="R26" s="1"/>
    </row>
    <row r="27" spans="1:18" ht="25.15" customHeight="1" x14ac:dyDescent="0.25">
      <c r="A27" s="150" t="s">
        <v>183</v>
      </c>
      <c r="B27" s="171"/>
      <c r="C27" s="172" t="s">
        <v>230</v>
      </c>
      <c r="D27" s="134">
        <f>'餅乾庫存(製作)'!B27</f>
        <v>99</v>
      </c>
      <c r="E27" s="147">
        <f t="shared" si="2"/>
        <v>99</v>
      </c>
      <c r="F27" s="141" t="s">
        <v>150</v>
      </c>
      <c r="G27" s="137">
        <v>60</v>
      </c>
      <c r="H27" s="140" t="s">
        <v>150</v>
      </c>
      <c r="I27" s="139">
        <f t="shared" si="3"/>
        <v>0</v>
      </c>
      <c r="J27" s="140" t="s">
        <v>150</v>
      </c>
      <c r="K27" s="4">
        <v>1</v>
      </c>
      <c r="L27" s="4"/>
      <c r="M27" s="1"/>
      <c r="O27" s="1"/>
      <c r="Q27" s="1"/>
      <c r="R27" s="1"/>
    </row>
    <row r="28" spans="1:18" ht="25.15" customHeight="1" x14ac:dyDescent="0.25">
      <c r="A28" s="150" t="s">
        <v>184</v>
      </c>
      <c r="B28" s="171"/>
      <c r="C28" s="172" t="s">
        <v>230</v>
      </c>
      <c r="D28" s="134">
        <f>'餅乾庫存(製作)'!B28</f>
        <v>94</v>
      </c>
      <c r="E28" s="147">
        <f t="shared" si="2"/>
        <v>94</v>
      </c>
      <c r="F28" s="141" t="s">
        <v>150</v>
      </c>
      <c r="G28" s="137">
        <v>60</v>
      </c>
      <c r="H28" s="140" t="s">
        <v>150</v>
      </c>
      <c r="I28" s="139">
        <f t="shared" si="3"/>
        <v>0</v>
      </c>
      <c r="J28" s="140" t="s">
        <v>150</v>
      </c>
      <c r="K28" s="4">
        <v>1</v>
      </c>
      <c r="L28" s="4"/>
      <c r="M28" s="1"/>
      <c r="O28" s="1"/>
      <c r="Q28" s="1"/>
      <c r="R28" s="1"/>
    </row>
    <row r="29" spans="1:18" ht="25.15" customHeight="1" x14ac:dyDescent="0.25">
      <c r="A29" s="150" t="s">
        <v>185</v>
      </c>
      <c r="B29" s="171"/>
      <c r="C29" s="172" t="s">
        <v>230</v>
      </c>
      <c r="D29" s="134">
        <f>'餅乾庫存(製作)'!B29</f>
        <v>106</v>
      </c>
      <c r="E29" s="147">
        <f t="shared" si="2"/>
        <v>106</v>
      </c>
      <c r="F29" s="141" t="s">
        <v>150</v>
      </c>
      <c r="G29" s="137">
        <v>60</v>
      </c>
      <c r="H29" s="140" t="s">
        <v>150</v>
      </c>
      <c r="I29" s="139">
        <f t="shared" si="3"/>
        <v>0</v>
      </c>
      <c r="J29" s="140" t="s">
        <v>150</v>
      </c>
      <c r="K29" s="4"/>
      <c r="L29" s="4"/>
      <c r="M29" s="1"/>
      <c r="O29" s="1"/>
      <c r="Q29" s="1"/>
      <c r="R29" s="1"/>
    </row>
    <row r="30" spans="1:18" ht="30" customHeight="1" x14ac:dyDescent="0.25">
      <c r="A30" s="133" t="s">
        <v>149</v>
      </c>
      <c r="B30" s="186"/>
      <c r="C30" s="187"/>
      <c r="D30" s="157" t="s">
        <v>208</v>
      </c>
      <c r="E30" s="157" t="s">
        <v>209</v>
      </c>
      <c r="F30" s="1"/>
      <c r="G30" s="1"/>
      <c r="H30" s="1"/>
      <c r="I30" s="1"/>
      <c r="J30" s="1"/>
      <c r="K30" s="1"/>
      <c r="M30" s="1"/>
      <c r="O30" s="1"/>
      <c r="Q30" s="1"/>
      <c r="R30" s="1"/>
    </row>
    <row r="31" spans="1:18" ht="25.15" customHeight="1" x14ac:dyDescent="0.25">
      <c r="A31" s="150" t="s">
        <v>187</v>
      </c>
      <c r="B31" s="186"/>
      <c r="C31" s="187"/>
      <c r="D31" s="134">
        <f>'餅乾庫存(製作)'!B31</f>
        <v>0</v>
      </c>
      <c r="E31" s="134">
        <f>'餅乾庫存(製作)'!C31</f>
        <v>0</v>
      </c>
      <c r="F31" s="1"/>
      <c r="G31" s="1"/>
      <c r="H31" s="1"/>
      <c r="I31" s="1"/>
      <c r="J31" s="1"/>
      <c r="K31" s="1"/>
      <c r="M31" s="1"/>
      <c r="O31" s="1"/>
      <c r="Q31" s="1"/>
      <c r="R31" s="1"/>
    </row>
    <row r="32" spans="1:18" ht="25.15" customHeight="1" x14ac:dyDescent="0.25">
      <c r="A32" s="150" t="s">
        <v>188</v>
      </c>
      <c r="B32" s="186"/>
      <c r="C32" s="187"/>
      <c r="D32" s="134">
        <f>'餅乾庫存(製作)'!B32</f>
        <v>0</v>
      </c>
      <c r="E32" s="134">
        <f>'餅乾庫存(製作)'!C32</f>
        <v>1</v>
      </c>
      <c r="F32" s="1"/>
      <c r="G32" s="1"/>
      <c r="H32" s="1"/>
      <c r="I32" s="1"/>
      <c r="J32" s="1"/>
      <c r="K32" s="1"/>
      <c r="M32" s="1"/>
      <c r="O32" s="1"/>
      <c r="Q32" s="1"/>
      <c r="R32" s="1"/>
    </row>
    <row r="33" spans="1:18" ht="25.15" customHeight="1" x14ac:dyDescent="0.25">
      <c r="A33" s="150" t="s">
        <v>189</v>
      </c>
      <c r="B33" s="186"/>
      <c r="C33" s="187"/>
      <c r="D33" s="134">
        <f>'餅乾庫存(製作)'!B33</f>
        <v>0</v>
      </c>
      <c r="E33" s="134">
        <f>'餅乾庫存(製作)'!C33</f>
        <v>0</v>
      </c>
      <c r="F33" s="1"/>
      <c r="G33" s="1"/>
      <c r="H33" s="1"/>
      <c r="I33" s="1"/>
      <c r="J33" s="1"/>
      <c r="K33" s="1"/>
      <c r="M33" s="1"/>
      <c r="O33" s="1"/>
      <c r="Q33" s="1"/>
      <c r="R33" s="1"/>
    </row>
    <row r="34" spans="1:18" ht="25.15" customHeight="1" x14ac:dyDescent="0.25">
      <c r="A34" s="150" t="s">
        <v>190</v>
      </c>
      <c r="B34" s="186"/>
      <c r="C34" s="187"/>
      <c r="D34" s="134">
        <f>'餅乾庫存(製作)'!B34</f>
        <v>0</v>
      </c>
      <c r="E34" s="134">
        <f>'餅乾庫存(製作)'!C34</f>
        <v>0</v>
      </c>
      <c r="F34" s="1"/>
      <c r="G34" s="1"/>
      <c r="H34" s="1"/>
      <c r="I34" s="1"/>
      <c r="J34" s="1"/>
      <c r="K34" s="1"/>
      <c r="M34" s="1"/>
      <c r="O34" s="1"/>
      <c r="Q34" s="1"/>
      <c r="R34" s="1"/>
    </row>
    <row r="35" spans="1:18" ht="25.15" customHeight="1" x14ac:dyDescent="0.25">
      <c r="A35" s="150" t="s">
        <v>191</v>
      </c>
      <c r="B35" s="186"/>
      <c r="C35" s="187"/>
      <c r="D35" s="134">
        <f>'餅乾庫存(製作)'!B35</f>
        <v>0</v>
      </c>
      <c r="E35" s="134">
        <f>'餅乾庫存(製作)'!C35</f>
        <v>0</v>
      </c>
      <c r="F35" s="1"/>
      <c r="G35" s="1"/>
      <c r="H35" s="1"/>
      <c r="I35" s="1"/>
      <c r="J35" s="1"/>
      <c r="K35" s="1"/>
      <c r="M35" s="1"/>
      <c r="O35" s="1"/>
      <c r="Q35" s="1"/>
      <c r="R35" s="1"/>
    </row>
    <row r="36" spans="1:18" ht="40.5" x14ac:dyDescent="0.25">
      <c r="A36" s="133" t="s">
        <v>186</v>
      </c>
      <c r="B36" s="170" t="s">
        <v>238</v>
      </c>
      <c r="C36" s="158" t="s">
        <v>233</v>
      </c>
      <c r="D36" s="220" t="s">
        <v>213</v>
      </c>
      <c r="E36" s="221"/>
      <c r="F36" s="205" t="s">
        <v>219</v>
      </c>
      <c r="G36" s="205"/>
      <c r="H36" s="206" t="s">
        <v>148</v>
      </c>
      <c r="I36" s="206"/>
      <c r="J36" s="206" t="s">
        <v>217</v>
      </c>
      <c r="K36" s="206"/>
      <c r="M36" s="1"/>
      <c r="O36" s="1"/>
      <c r="Q36" s="1"/>
      <c r="R36" s="1"/>
    </row>
    <row r="37" spans="1:18" ht="25.15" customHeight="1" x14ac:dyDescent="0.25">
      <c r="A37" s="150" t="s">
        <v>201</v>
      </c>
      <c r="B37" s="193">
        <f>'餅乾庫存(製作)'!B37</f>
        <v>0</v>
      </c>
      <c r="C37" s="177">
        <f>'餅乾庫存(製作)'!C37</f>
        <v>0</v>
      </c>
      <c r="D37" s="209">
        <f>'餅乾庫存(製作)'!D37</f>
        <v>4</v>
      </c>
      <c r="E37" s="209"/>
      <c r="F37" s="135">
        <f>B37-(('餅乾庫存(製作)'!F37*300)/1000)+((D37*300)/1000)</f>
        <v>1.2</v>
      </c>
      <c r="G37" s="141" t="s">
        <v>122</v>
      </c>
      <c r="H37" s="137">
        <v>2</v>
      </c>
      <c r="I37" s="140" t="s">
        <v>123</v>
      </c>
      <c r="J37" s="139">
        <f>MAX(0,(H37-F37))</f>
        <v>0.8</v>
      </c>
      <c r="K37" s="140" t="s">
        <v>123</v>
      </c>
      <c r="M37" s="1"/>
      <c r="O37" s="1"/>
      <c r="Q37" s="1"/>
      <c r="R37" s="1"/>
    </row>
    <row r="38" spans="1:18" ht="25.15" customHeight="1" x14ac:dyDescent="0.25">
      <c r="A38" s="150" t="s">
        <v>194</v>
      </c>
      <c r="B38" s="193">
        <f>'餅乾庫存(製作)'!B38</f>
        <v>0</v>
      </c>
      <c r="C38" s="177">
        <f>'餅乾庫存(製作)'!C38</f>
        <v>0</v>
      </c>
      <c r="D38" s="209">
        <f>'餅乾庫存(製作)'!D38</f>
        <v>3</v>
      </c>
      <c r="E38" s="209"/>
      <c r="F38" s="135">
        <f>B38-(('餅乾庫存(製作)'!F38*300)/1000)+((D38*300)/1000)</f>
        <v>0.9</v>
      </c>
      <c r="G38" s="141" t="s">
        <v>122</v>
      </c>
      <c r="H38" s="137">
        <v>10</v>
      </c>
      <c r="I38" s="140" t="s">
        <v>123</v>
      </c>
      <c r="J38" s="139">
        <f t="shared" ref="J38:J41" si="4">MAX(0,(H38-F38))</f>
        <v>9.1</v>
      </c>
      <c r="K38" s="140" t="s">
        <v>123</v>
      </c>
      <c r="M38" s="1"/>
      <c r="O38" s="1"/>
      <c r="Q38" s="1"/>
      <c r="R38" s="1"/>
    </row>
    <row r="39" spans="1:18" ht="25.15" customHeight="1" x14ac:dyDescent="0.25">
      <c r="A39" s="150" t="s">
        <v>195</v>
      </c>
      <c r="B39" s="193">
        <f>'餅乾庫存(製作)'!B39</f>
        <v>0</v>
      </c>
      <c r="C39" s="177">
        <f>'餅乾庫存(製作)'!C39</f>
        <v>0</v>
      </c>
      <c r="D39" s="209">
        <f>'餅乾庫存(製作)'!D39</f>
        <v>10</v>
      </c>
      <c r="E39" s="209"/>
      <c r="F39" s="135">
        <f>B39-(('餅乾庫存(製作)'!F39*300)/1000)+((D39*300)/1000)</f>
        <v>3</v>
      </c>
      <c r="G39" s="141" t="s">
        <v>122</v>
      </c>
      <c r="H39" s="137">
        <v>2</v>
      </c>
      <c r="I39" s="140" t="s">
        <v>123</v>
      </c>
      <c r="J39" s="139">
        <f t="shared" si="4"/>
        <v>0</v>
      </c>
      <c r="K39" s="140" t="s">
        <v>123</v>
      </c>
      <c r="M39" s="1"/>
      <c r="O39" s="1"/>
      <c r="Q39" s="1"/>
      <c r="R39" s="1"/>
    </row>
    <row r="40" spans="1:18" ht="25.15" customHeight="1" x14ac:dyDescent="0.25">
      <c r="A40" s="150" t="s">
        <v>196</v>
      </c>
      <c r="B40" s="193">
        <f>'餅乾庫存(製作)'!B40</f>
        <v>0</v>
      </c>
      <c r="C40" s="177">
        <f>'餅乾庫存(製作)'!C40</f>
        <v>0</v>
      </c>
      <c r="D40" s="209">
        <f>'餅乾庫存(製作)'!D40</f>
        <v>14</v>
      </c>
      <c r="E40" s="209"/>
      <c r="F40" s="135">
        <f>B40-(('餅乾庫存(製作)'!F40*300)/1000)+((D40*300)/1000)</f>
        <v>4.2</v>
      </c>
      <c r="G40" s="141" t="s">
        <v>122</v>
      </c>
      <c r="H40" s="137">
        <v>2</v>
      </c>
      <c r="I40" s="140" t="s">
        <v>123</v>
      </c>
      <c r="J40" s="139">
        <f t="shared" si="4"/>
        <v>0</v>
      </c>
      <c r="K40" s="140" t="s">
        <v>123</v>
      </c>
      <c r="M40" s="1"/>
      <c r="O40" s="1"/>
      <c r="Q40" s="1"/>
      <c r="R40" s="1"/>
    </row>
    <row r="41" spans="1:18" ht="25.15" customHeight="1" x14ac:dyDescent="0.25">
      <c r="A41" s="150" t="s">
        <v>197</v>
      </c>
      <c r="B41" s="193">
        <f>'餅乾庫存(製作)'!B41</f>
        <v>0</v>
      </c>
      <c r="C41" s="177">
        <f>'餅乾庫存(製作)'!C41</f>
        <v>0</v>
      </c>
      <c r="D41" s="209">
        <f>'餅乾庫存(製作)'!D41</f>
        <v>8</v>
      </c>
      <c r="E41" s="209"/>
      <c r="F41" s="135">
        <f>B41-(('餅乾庫存(製作)'!F41*300)/1000)+((D41*300)/1000)</f>
        <v>-0.89999999999999991</v>
      </c>
      <c r="G41" s="141" t="s">
        <v>122</v>
      </c>
      <c r="H41" s="137">
        <v>2</v>
      </c>
      <c r="I41" s="140" t="s">
        <v>123</v>
      </c>
      <c r="J41" s="139">
        <f t="shared" si="4"/>
        <v>2.9</v>
      </c>
      <c r="K41" s="140" t="s">
        <v>123</v>
      </c>
      <c r="M41" s="1"/>
      <c r="O41" s="1"/>
      <c r="Q41" s="1"/>
      <c r="R41" s="1"/>
    </row>
    <row r="42" spans="1:18" ht="67.5" x14ac:dyDescent="0.25">
      <c r="A42" s="133" t="s">
        <v>141</v>
      </c>
      <c r="B42" s="203" t="s">
        <v>220</v>
      </c>
      <c r="C42" s="204"/>
      <c r="D42" s="170" t="s">
        <v>234</v>
      </c>
      <c r="E42" s="169" t="s">
        <v>235</v>
      </c>
      <c r="F42" s="157" t="s">
        <v>206</v>
      </c>
      <c r="G42" s="157" t="s">
        <v>207</v>
      </c>
      <c r="H42" s="205" t="s">
        <v>219</v>
      </c>
      <c r="I42" s="205"/>
      <c r="J42" s="206" t="s">
        <v>148</v>
      </c>
      <c r="K42" s="206"/>
      <c r="L42" s="206" t="s">
        <v>217</v>
      </c>
      <c r="M42" s="206"/>
      <c r="O42" s="1"/>
      <c r="Q42" s="1"/>
      <c r="R42" s="1"/>
    </row>
    <row r="43" spans="1:18" ht="25.15" customHeight="1" x14ac:dyDescent="0.25">
      <c r="A43" s="130" t="s">
        <v>202</v>
      </c>
      <c r="B43" s="165"/>
      <c r="C43" s="165" t="s">
        <v>221</v>
      </c>
      <c r="D43" s="196">
        <f>'餅乾庫存(製作)'!B43</f>
        <v>0.4</v>
      </c>
      <c r="E43" s="197">
        <f>'餅乾庫存(製作)'!C43</f>
        <v>0.4</v>
      </c>
      <c r="F43" s="134">
        <f>'餅乾庫存(製作)'!D43</f>
        <v>0</v>
      </c>
      <c r="G43" s="134">
        <f>'餅乾庫存(製作)'!E43</f>
        <v>70</v>
      </c>
      <c r="H43" s="135">
        <f>D43-((('餅乾庫存(製作)'!F43*100)+('餅乾庫存(製作)'!H43*200)+('餅乾庫存(製作)'!F45*50))/1000)+((B43*2500)/1000)+(((F43*100)+(G43*200)+(F45*50))/1000)</f>
        <v>14.4</v>
      </c>
      <c r="I43" s="141" t="s">
        <v>122</v>
      </c>
      <c r="J43" s="137">
        <v>2</v>
      </c>
      <c r="K43" s="138" t="s">
        <v>121</v>
      </c>
      <c r="L43" s="139">
        <f>MAX(0,(J43*1000)-(H43*1000))/1000</f>
        <v>0</v>
      </c>
      <c r="M43" s="140" t="s">
        <v>122</v>
      </c>
      <c r="O43" s="1"/>
      <c r="Q43" s="1"/>
      <c r="R43" s="1"/>
    </row>
    <row r="44" spans="1:18" ht="25.15" customHeight="1" x14ac:dyDescent="0.25">
      <c r="A44" s="130" t="s">
        <v>203</v>
      </c>
      <c r="B44" s="165"/>
      <c r="C44" s="165" t="s">
        <v>221</v>
      </c>
      <c r="D44" s="196">
        <f>'餅乾庫存(製作)'!B44</f>
        <v>0.60000000000000009</v>
      </c>
      <c r="E44" s="197">
        <f>'餅乾庫存(製作)'!C44</f>
        <v>0.60000000000000009</v>
      </c>
      <c r="F44" s="134">
        <f>'餅乾庫存(製作)'!D44</f>
        <v>0</v>
      </c>
      <c r="G44" s="134">
        <f>'餅乾庫存(製作)'!E44</f>
        <v>35</v>
      </c>
      <c r="H44" s="135">
        <f>D44-((('餅乾庫存(製作)'!F44*100)+('餅乾庫存(製作)'!H44*200))/1000)+((B44*5200)/1000)+(((F44*100)+(G44*200))/1000)</f>
        <v>7.6</v>
      </c>
      <c r="I44" s="141" t="s">
        <v>122</v>
      </c>
      <c r="J44" s="137">
        <v>1</v>
      </c>
      <c r="K44" s="138" t="s">
        <v>121</v>
      </c>
      <c r="L44" s="139">
        <f>MAX(0,(J44*1000)-(H44*1000))/1000</f>
        <v>0</v>
      </c>
      <c r="M44" s="140" t="s">
        <v>122</v>
      </c>
      <c r="O44" s="1"/>
      <c r="Q44" s="1"/>
      <c r="R44" s="1"/>
    </row>
    <row r="45" spans="1:18" ht="25.15" customHeight="1" x14ac:dyDescent="0.25">
      <c r="A45" s="130" t="s">
        <v>147</v>
      </c>
      <c r="B45" s="155"/>
      <c r="C45" s="165"/>
      <c r="D45" s="152"/>
      <c r="E45" s="159"/>
      <c r="F45" s="134">
        <f>'餅乾庫存(製作)'!D45</f>
        <v>0</v>
      </c>
      <c r="G45" s="195"/>
      <c r="H45" s="210"/>
      <c r="I45" s="210"/>
      <c r="J45" s="222"/>
      <c r="K45" s="222"/>
      <c r="L45" s="222"/>
      <c r="M45" s="222"/>
      <c r="O45" s="1"/>
      <c r="Q45" s="1"/>
      <c r="R45" s="1"/>
    </row>
    <row r="46" spans="1:18" ht="67.5" x14ac:dyDescent="0.25">
      <c r="A46" s="133" t="s">
        <v>138</v>
      </c>
      <c r="B46" s="203" t="s">
        <v>218</v>
      </c>
      <c r="C46" s="204"/>
      <c r="D46" s="170" t="s">
        <v>234</v>
      </c>
      <c r="E46" s="169" t="s">
        <v>235</v>
      </c>
      <c r="F46" s="174" t="s">
        <v>215</v>
      </c>
      <c r="G46" s="157" t="s">
        <v>204</v>
      </c>
      <c r="H46" s="157" t="s">
        <v>205</v>
      </c>
      <c r="I46" s="205" t="s">
        <v>155</v>
      </c>
      <c r="J46" s="205"/>
      <c r="K46" s="206" t="s">
        <v>148</v>
      </c>
      <c r="L46" s="206"/>
      <c r="M46" s="206" t="s">
        <v>217</v>
      </c>
      <c r="N46" s="206"/>
      <c r="O46" s="1"/>
      <c r="Q46" s="1"/>
      <c r="R46" s="1"/>
    </row>
    <row r="47" spans="1:18" ht="25.15" customHeight="1" x14ac:dyDescent="0.25">
      <c r="A47" s="131" t="s">
        <v>130</v>
      </c>
      <c r="B47" s="223"/>
      <c r="C47" s="224"/>
      <c r="D47" s="166"/>
      <c r="E47" s="167"/>
      <c r="F47" s="192"/>
      <c r="G47" s="134">
        <f>'餅乾庫存(製作)'!E47</f>
        <v>80</v>
      </c>
      <c r="H47" s="134">
        <f>'餅乾庫存(製作)'!F47</f>
        <v>114</v>
      </c>
      <c r="I47" s="210"/>
      <c r="J47" s="210"/>
      <c r="K47" s="222"/>
      <c r="L47" s="222"/>
      <c r="M47" s="222"/>
      <c r="N47" s="222"/>
      <c r="O47" s="1"/>
      <c r="Q47" s="1"/>
      <c r="R47" s="1"/>
    </row>
    <row r="48" spans="1:18" ht="25.15" customHeight="1" x14ac:dyDescent="0.25">
      <c r="A48" s="131" t="s">
        <v>133</v>
      </c>
      <c r="B48" s="165">
        <v>37</v>
      </c>
      <c r="C48" s="165" t="s">
        <v>221</v>
      </c>
      <c r="D48" s="193">
        <f>'餅乾庫存(製作)'!B48</f>
        <v>1.0950000000000024</v>
      </c>
      <c r="E48" s="177">
        <f>'餅乾庫存(製作)'!C48</f>
        <v>2.1175000000000068</v>
      </c>
      <c r="F48" s="176">
        <f>'餅乾庫存(製作)'!D48</f>
        <v>19</v>
      </c>
      <c r="G48" s="134">
        <f>'餅乾庫存(製作)'!E48</f>
        <v>72</v>
      </c>
      <c r="H48" s="134">
        <f>'餅乾庫存(製作)'!F48</f>
        <v>220</v>
      </c>
      <c r="I48" s="135">
        <f>D48-((('餅乾庫存(製作)'!G48*7)+('餅乾庫存(製作)'!H48*90)+('餅乾庫存(製作)'!I48*135)+('餅乾庫存(製作)'!H55*45)+('餅乾庫存(製作)'!H47*22.5)+('餅乾庫存(製作)'!I47*33.75)+('餅乾庫存(製作)'!H63*15)+('餅乾庫存(製作)'!I63*22.5))/1000)+B48+(((F48*7)+(G48*90)+(H48*135)+(G55*45))/1000)</f>
        <v>40.590500000000006</v>
      </c>
      <c r="J48" s="141" t="s">
        <v>122</v>
      </c>
      <c r="K48" s="142">
        <v>100</v>
      </c>
      <c r="L48" s="140" t="s">
        <v>122</v>
      </c>
      <c r="M48" s="139">
        <f t="shared" ref="M48:M54" si="5">MAX(0,K48-I48)</f>
        <v>59.409499999999994</v>
      </c>
      <c r="N48" s="140" t="s">
        <v>122</v>
      </c>
      <c r="O48" s="1"/>
      <c r="Q48" s="1"/>
      <c r="R48" s="1"/>
    </row>
    <row r="49" spans="1:18" ht="25.15" customHeight="1" x14ac:dyDescent="0.25">
      <c r="A49" s="131" t="s">
        <v>132</v>
      </c>
      <c r="B49" s="165">
        <v>10</v>
      </c>
      <c r="C49" s="165" t="s">
        <v>221</v>
      </c>
      <c r="D49" s="193">
        <f>'餅乾庫存(製作)'!B49</f>
        <v>0</v>
      </c>
      <c r="E49" s="177">
        <f>'餅乾庫存(製作)'!C49</f>
        <v>5.0049999999999999</v>
      </c>
      <c r="F49" s="176">
        <f>'餅乾庫存(製作)'!D49</f>
        <v>55</v>
      </c>
      <c r="G49" s="134">
        <f>'餅乾庫存(製作)'!E49</f>
        <v>54</v>
      </c>
      <c r="H49" s="134">
        <f>'餅乾庫存(製作)'!F49</f>
        <v>83</v>
      </c>
      <c r="I49" s="135">
        <f>D49-((('餅乾庫存(製作)'!G49*7)+('餅乾庫存(製作)'!H49*90)+('餅乾庫存(製作)'!I49*135)+('餅乾庫存(製作)'!H47*22.5)+('餅乾庫存(製作)'!I47*33.75))/1000)+B49+(((F49*7)+(G49*90)+(H49*135))/1000)</f>
        <v>21.454999999999998</v>
      </c>
      <c r="J49" s="141" t="s">
        <v>122</v>
      </c>
      <c r="K49" s="142">
        <v>20</v>
      </c>
      <c r="L49" s="140" t="s">
        <v>122</v>
      </c>
      <c r="M49" s="139">
        <f t="shared" si="5"/>
        <v>0</v>
      </c>
      <c r="N49" s="140" t="s">
        <v>122</v>
      </c>
      <c r="O49" s="1"/>
      <c r="Q49" s="1"/>
      <c r="R49" s="1"/>
    </row>
    <row r="50" spans="1:18" ht="25.15" customHeight="1" x14ac:dyDescent="0.25">
      <c r="A50" s="131" t="s">
        <v>131</v>
      </c>
      <c r="B50" s="165"/>
      <c r="C50" s="165" t="s">
        <v>221</v>
      </c>
      <c r="D50" s="193">
        <f>'餅乾庫存(製作)'!B50</f>
        <v>2.6300000000000008</v>
      </c>
      <c r="E50" s="177">
        <f>'餅乾庫存(製作)'!C50</f>
        <v>-6.9999999999999396E-2</v>
      </c>
      <c r="F50" s="176">
        <f>'餅乾庫存(製作)'!D50</f>
        <v>13</v>
      </c>
      <c r="G50" s="134">
        <f>'餅乾庫存(製作)'!E50</f>
        <v>52</v>
      </c>
      <c r="H50" s="134">
        <f>'餅乾庫存(製作)'!F50</f>
        <v>85</v>
      </c>
      <c r="I50" s="135">
        <f>D50-((('餅乾庫存(製作)'!G50*7)+('餅乾庫存(製作)'!H50*90)+('餅乾庫存(製作)'!I50*135)+('餅乾庫存(製作)'!H47*22.5)+('餅乾庫存(製作)'!I47*33.75))/1000)+B50+(((F50*7)+(G50*90)+(H50*135))/1000)</f>
        <v>16.175999999999998</v>
      </c>
      <c r="J50" s="141" t="s">
        <v>122</v>
      </c>
      <c r="K50" s="137">
        <v>40</v>
      </c>
      <c r="L50" s="140" t="s">
        <v>122</v>
      </c>
      <c r="M50" s="139">
        <f t="shared" si="5"/>
        <v>23.824000000000002</v>
      </c>
      <c r="N50" s="140" t="s">
        <v>122</v>
      </c>
      <c r="O50" s="1"/>
      <c r="Q50" s="1"/>
      <c r="R50" s="1"/>
    </row>
    <row r="51" spans="1:18" ht="25.15" customHeight="1" x14ac:dyDescent="0.25">
      <c r="A51" s="131" t="s">
        <v>134</v>
      </c>
      <c r="B51" s="165">
        <v>3</v>
      </c>
      <c r="C51" s="165" t="s">
        <v>221</v>
      </c>
      <c r="D51" s="193">
        <f>'餅乾庫存(製作)'!B51</f>
        <v>1.48</v>
      </c>
      <c r="E51" s="177">
        <f>'餅乾庫存(製作)'!C51</f>
        <v>1.7799999999999998</v>
      </c>
      <c r="F51" s="176">
        <f>'餅乾庫存(製作)'!D51</f>
        <v>0</v>
      </c>
      <c r="G51" s="134">
        <f>'餅乾庫存(製作)'!E51</f>
        <v>26</v>
      </c>
      <c r="H51" s="134">
        <f>'餅乾庫存(製作)'!F51</f>
        <v>30</v>
      </c>
      <c r="I51" s="135">
        <f>D51-((('餅乾庫存(製作)'!G51*7)+('餅乾庫存(製作)'!H51*90)+('餅乾庫存(製作)'!I51*135)+('餅乾庫存(製作)'!H47*22.5)+('餅乾庫存(製作)'!I47*33.75))/1000)+B51+(((F51*7)+(G51*90)+(H51*135))/1000)</f>
        <v>8.17</v>
      </c>
      <c r="J51" s="141" t="s">
        <v>122</v>
      </c>
      <c r="K51" s="137">
        <v>6</v>
      </c>
      <c r="L51" s="140" t="s">
        <v>122</v>
      </c>
      <c r="M51" s="139">
        <f t="shared" si="5"/>
        <v>0</v>
      </c>
      <c r="N51" s="140" t="s">
        <v>122</v>
      </c>
      <c r="O51" s="1"/>
      <c r="Q51" s="1"/>
      <c r="R51" s="1"/>
    </row>
    <row r="52" spans="1:18" ht="25.15" customHeight="1" x14ac:dyDescent="0.25">
      <c r="A52" s="131" t="s">
        <v>135</v>
      </c>
      <c r="B52" s="165"/>
      <c r="C52" s="165" t="s">
        <v>221</v>
      </c>
      <c r="D52" s="193">
        <f>'餅乾庫存(製作)'!B52</f>
        <v>0</v>
      </c>
      <c r="E52" s="177">
        <f>'餅乾庫存(製作)'!C52</f>
        <v>0</v>
      </c>
      <c r="F52" s="176">
        <f>'餅乾庫存(製作)'!D52</f>
        <v>0</v>
      </c>
      <c r="G52" s="134">
        <f>'餅乾庫存(製作)'!E52</f>
        <v>29</v>
      </c>
      <c r="H52" s="134">
        <f>'餅乾庫存(製作)'!F52</f>
        <v>16</v>
      </c>
      <c r="I52" s="135">
        <f>D52-((('餅乾庫存(製作)'!G52*7)+('餅乾庫存(製作)'!H52*90)+('餅乾庫存(製作)'!I52*135))/1000)+B52+(((F52*7)+(G52*90)+(H52*135))/1000)</f>
        <v>4.7699999999999996</v>
      </c>
      <c r="J52" s="141" t="s">
        <v>122</v>
      </c>
      <c r="K52" s="137">
        <v>6</v>
      </c>
      <c r="L52" s="140" t="s">
        <v>122</v>
      </c>
      <c r="M52" s="139">
        <f t="shared" si="5"/>
        <v>1.2300000000000004</v>
      </c>
      <c r="N52" s="140" t="s">
        <v>122</v>
      </c>
      <c r="O52" s="1"/>
      <c r="Q52" s="1"/>
      <c r="R52" s="1"/>
    </row>
    <row r="53" spans="1:18" ht="25.15" customHeight="1" x14ac:dyDescent="0.25">
      <c r="A53" s="131" t="s">
        <v>136</v>
      </c>
      <c r="B53" s="165"/>
      <c r="C53" s="165" t="s">
        <v>221</v>
      </c>
      <c r="D53" s="193">
        <f>'餅乾庫存(製作)'!B53</f>
        <v>0</v>
      </c>
      <c r="E53" s="177">
        <f>'餅乾庫存(製作)'!C53</f>
        <v>0</v>
      </c>
      <c r="F53" s="176">
        <f>'餅乾庫存(製作)'!D53</f>
        <v>0</v>
      </c>
      <c r="G53" s="134">
        <f>'餅乾庫存(製作)'!E53</f>
        <v>35</v>
      </c>
      <c r="H53" s="134">
        <f>'餅乾庫存(製作)'!F53</f>
        <v>46</v>
      </c>
      <c r="I53" s="135">
        <f>D53-((('餅乾庫存(製作)'!G53*7)+('餅乾庫存(製作)'!H53*90)+('餅乾庫存(製作)'!I53*135))/1000)+B53+(((F53*7)+(G53*90)+(H53*135))/1000)</f>
        <v>9.36</v>
      </c>
      <c r="J53" s="141" t="s">
        <v>122</v>
      </c>
      <c r="K53" s="137">
        <v>6</v>
      </c>
      <c r="L53" s="140" t="s">
        <v>122</v>
      </c>
      <c r="M53" s="139">
        <f t="shared" si="5"/>
        <v>0</v>
      </c>
      <c r="N53" s="140" t="s">
        <v>122</v>
      </c>
      <c r="O53" s="1"/>
      <c r="Q53" s="1"/>
      <c r="R53" s="1"/>
    </row>
    <row r="54" spans="1:18" ht="25.15" customHeight="1" x14ac:dyDescent="0.25">
      <c r="A54" s="131" t="s">
        <v>137</v>
      </c>
      <c r="B54" s="165"/>
      <c r="C54" s="165" t="s">
        <v>221</v>
      </c>
      <c r="D54" s="193">
        <f>'餅乾庫存(製作)'!B54</f>
        <v>0</v>
      </c>
      <c r="E54" s="177">
        <f>'餅乾庫存(製作)'!C54</f>
        <v>0</v>
      </c>
      <c r="F54" s="176">
        <f>'餅乾庫存(製作)'!D54</f>
        <v>0</v>
      </c>
      <c r="G54" s="134">
        <f>'餅乾庫存(製作)'!E54</f>
        <v>13</v>
      </c>
      <c r="H54" s="134">
        <f>'餅乾庫存(製作)'!F54</f>
        <v>15</v>
      </c>
      <c r="I54" s="135">
        <f>D54-((('餅乾庫存(製作)'!G54*7)+('餅乾庫存(製作)'!H54*90)+('餅乾庫存(製作)'!I54*135))/1000)+B54+(((F54*7)+(G54*90)+(H54*135))/1000)</f>
        <v>3.1949999999999998</v>
      </c>
      <c r="J54" s="141" t="s">
        <v>122</v>
      </c>
      <c r="K54" s="137">
        <v>3</v>
      </c>
      <c r="L54" s="140" t="s">
        <v>122</v>
      </c>
      <c r="M54" s="139">
        <f t="shared" si="5"/>
        <v>0</v>
      </c>
      <c r="N54" s="140" t="s">
        <v>122</v>
      </c>
      <c r="O54" s="1"/>
      <c r="Q54" s="1"/>
      <c r="R54" s="1"/>
    </row>
    <row r="55" spans="1:18" ht="25.15" customHeight="1" x14ac:dyDescent="0.25">
      <c r="A55" s="132" t="s">
        <v>146</v>
      </c>
      <c r="B55" s="225"/>
      <c r="C55" s="226"/>
      <c r="D55" s="152"/>
      <c r="E55" s="159"/>
      <c r="F55" s="192"/>
      <c r="G55" s="134">
        <f>'餅乾庫存(製作)'!E55</f>
        <v>48</v>
      </c>
      <c r="H55" s="154"/>
      <c r="I55" s="210"/>
      <c r="J55" s="210"/>
      <c r="K55" s="222"/>
      <c r="L55" s="222"/>
      <c r="M55" s="222"/>
      <c r="N55" s="222"/>
      <c r="O55" s="1"/>
      <c r="Q55" s="1"/>
      <c r="R55" s="1"/>
    </row>
    <row r="56" spans="1:18" ht="40.5" x14ac:dyDescent="0.25">
      <c r="A56" s="133" t="s">
        <v>139</v>
      </c>
      <c r="B56" s="170" t="s">
        <v>236</v>
      </c>
      <c r="C56" s="169" t="s">
        <v>237</v>
      </c>
      <c r="D56" s="174" t="s">
        <v>215</v>
      </c>
      <c r="E56" s="157" t="s">
        <v>204</v>
      </c>
      <c r="F56" s="157" t="s">
        <v>205</v>
      </c>
      <c r="G56" s="205" t="s">
        <v>155</v>
      </c>
      <c r="H56" s="205"/>
      <c r="I56" s="206" t="s">
        <v>148</v>
      </c>
      <c r="J56" s="206"/>
      <c r="K56" s="206" t="s">
        <v>217</v>
      </c>
      <c r="L56" s="206"/>
      <c r="M56" s="203" t="s">
        <v>222</v>
      </c>
      <c r="N56" s="204"/>
      <c r="O56" s="1"/>
      <c r="Q56" s="1"/>
      <c r="R56" s="1"/>
    </row>
    <row r="57" spans="1:18" ht="25.15" customHeight="1" x14ac:dyDescent="0.25">
      <c r="A57" s="130" t="s">
        <v>144</v>
      </c>
      <c r="B57" s="199">
        <f>'餅乾庫存(製作)'!B57</f>
        <v>15.594999999999999</v>
      </c>
      <c r="C57" s="182">
        <f>'餅乾庫存(製作)'!C57</f>
        <v>15.594999999999999</v>
      </c>
      <c r="D57" s="176">
        <f>'餅乾庫存(製作)'!D57</f>
        <v>69</v>
      </c>
      <c r="E57" s="134">
        <f>'餅乾庫存(製作)'!E57</f>
        <v>65</v>
      </c>
      <c r="F57" s="154"/>
      <c r="G57" s="135">
        <f>(B57-((('餅乾庫存(製作)'!G57*7)+('餅乾庫存(製作)'!H57*90)+('餅乾庫存(製作)'!I57*135))/200)+(((D57*7)+(E57*90)+(F57*135))/200))/3+(M57/3)</f>
        <v>15.753333333333332</v>
      </c>
      <c r="H57" s="136" t="s">
        <v>120</v>
      </c>
      <c r="I57" s="137">
        <v>21</v>
      </c>
      <c r="J57" s="138" t="s">
        <v>120</v>
      </c>
      <c r="K57" s="139">
        <f>MAX(0,I57-G57)</f>
        <v>5.2466666666666679</v>
      </c>
      <c r="L57" s="140" t="s">
        <v>125</v>
      </c>
      <c r="M57" s="165"/>
      <c r="N57" s="165" t="s">
        <v>232</v>
      </c>
      <c r="O57" s="1"/>
      <c r="Q57" s="1"/>
      <c r="R57" s="1"/>
    </row>
    <row r="58" spans="1:18" ht="25.15" customHeight="1" x14ac:dyDescent="0.25">
      <c r="A58" s="130" t="s">
        <v>142</v>
      </c>
      <c r="B58" s="199">
        <f>'餅乾庫存(製作)'!B58</f>
        <v>14</v>
      </c>
      <c r="C58" s="182">
        <f>'餅乾庫存(製作)'!C58</f>
        <v>14</v>
      </c>
      <c r="D58" s="176">
        <f>'餅乾庫存(製作)'!D58</f>
        <v>53</v>
      </c>
      <c r="E58" s="134">
        <f>'餅乾庫存(製作)'!E58</f>
        <v>45</v>
      </c>
      <c r="F58" s="134">
        <f>'餅乾庫存(製作)'!F58</f>
        <v>30</v>
      </c>
      <c r="G58" s="135">
        <f>(B58-((('餅乾庫存(製作)'!G58*7)+('餅乾庫存(製作)'!H58*90)+('餅乾庫存(製作)'!I58*135))/200)+(((D58*7)+(E58*90)+(F58*135))/200))/3+(M58/3)</f>
        <v>18.785</v>
      </c>
      <c r="H58" s="136" t="s">
        <v>120</v>
      </c>
      <c r="I58" s="137">
        <v>21</v>
      </c>
      <c r="J58" s="138" t="s">
        <v>120</v>
      </c>
      <c r="K58" s="139">
        <f>MAX(0,I58-G58)</f>
        <v>2.2149999999999999</v>
      </c>
      <c r="L58" s="140" t="s">
        <v>125</v>
      </c>
      <c r="M58" s="165"/>
      <c r="N58" s="165" t="s">
        <v>232</v>
      </c>
      <c r="O58" s="1"/>
      <c r="Q58" s="1"/>
      <c r="R58" s="1"/>
    </row>
    <row r="59" spans="1:18" ht="25.15" customHeight="1" x14ac:dyDescent="0.25">
      <c r="A59" s="130" t="s">
        <v>145</v>
      </c>
      <c r="B59" s="199">
        <f>'餅乾庫存(製作)'!B59</f>
        <v>7</v>
      </c>
      <c r="C59" s="182">
        <f>'餅乾庫存(製作)'!C59</f>
        <v>7</v>
      </c>
      <c r="D59" s="176">
        <f>'餅乾庫存(製作)'!D59</f>
        <v>70</v>
      </c>
      <c r="E59" s="134">
        <f>'餅乾庫存(製作)'!E59</f>
        <v>37</v>
      </c>
      <c r="F59" s="154"/>
      <c r="G59" s="135">
        <f>(B59-((('餅乾庫存(製作)'!G59*7)+('餅乾庫存(製作)'!H59*90)+('餅乾庫存(製作)'!I59*135))/200)+(((D59*7)+(E59*90)+(F59*135))/200))/3+(M59/3)</f>
        <v>8.7000000000000011</v>
      </c>
      <c r="H59" s="136" t="s">
        <v>120</v>
      </c>
      <c r="I59" s="137">
        <v>9</v>
      </c>
      <c r="J59" s="138" t="s">
        <v>120</v>
      </c>
      <c r="K59" s="139">
        <f>MAX(0,I59-G59)</f>
        <v>0.29999999999999893</v>
      </c>
      <c r="L59" s="140" t="s">
        <v>125</v>
      </c>
      <c r="M59" s="165"/>
      <c r="N59" s="165" t="s">
        <v>232</v>
      </c>
      <c r="O59" s="1"/>
      <c r="Q59" s="1"/>
      <c r="R59" s="1"/>
    </row>
    <row r="60" spans="1:18" ht="25.15" customHeight="1" x14ac:dyDescent="0.25">
      <c r="A60" s="130" t="s">
        <v>143</v>
      </c>
      <c r="B60" s="199">
        <f>'餅乾庫存(製作)'!B60</f>
        <v>6.5</v>
      </c>
      <c r="C60" s="182">
        <f>'餅乾庫存(製作)'!C60</f>
        <v>6.5</v>
      </c>
      <c r="D60" s="176">
        <f>'餅乾庫存(製作)'!D60</f>
        <v>0</v>
      </c>
      <c r="E60" s="134">
        <f>'餅乾庫存(製作)'!E60</f>
        <v>63</v>
      </c>
      <c r="F60" s="154"/>
      <c r="G60" s="135">
        <f>(B60-((('餅乾庫存(製作)'!G60*7)+('餅乾庫存(製作)'!H60*90)+('餅乾庫存(製作)'!I60*135))/200)+(((D60*7)+(E60*90)+(F60*135))/200))/3+(M60/3)</f>
        <v>11.616666666666667</v>
      </c>
      <c r="H60" s="136" t="s">
        <v>120</v>
      </c>
      <c r="I60" s="137">
        <v>15</v>
      </c>
      <c r="J60" s="138" t="s">
        <v>120</v>
      </c>
      <c r="K60" s="139">
        <f t="shared" ref="K60:K61" si="6">MAX(0,I60-G60)</f>
        <v>3.3833333333333329</v>
      </c>
      <c r="L60" s="140" t="s">
        <v>125</v>
      </c>
      <c r="M60" s="165"/>
      <c r="N60" s="165" t="s">
        <v>232</v>
      </c>
      <c r="O60" s="1"/>
      <c r="Q60" s="1"/>
      <c r="R60" s="1"/>
    </row>
    <row r="61" spans="1:18" ht="25.15" customHeight="1" x14ac:dyDescent="0.25">
      <c r="A61" s="130" t="s">
        <v>135</v>
      </c>
      <c r="B61" s="199">
        <f>'餅乾庫存(製作)'!B61</f>
        <v>7.5</v>
      </c>
      <c r="C61" s="182">
        <f>'餅乾庫存(製作)'!C61</f>
        <v>7.5</v>
      </c>
      <c r="D61" s="176">
        <f>'餅乾庫存(製作)'!D61</f>
        <v>0</v>
      </c>
      <c r="E61" s="134">
        <f>'餅乾庫存(製作)'!E61</f>
        <v>41</v>
      </c>
      <c r="F61" s="154"/>
      <c r="G61" s="135">
        <f>(B61-((('餅乾庫存(製作)'!G61*7)+('餅乾庫存(製作)'!H61*90)+('餅乾庫存(製作)'!I61*135))/200)+(((D61*7)+(E61*90)+(F61*135))/200))/3+(M61/3)</f>
        <v>8.65</v>
      </c>
      <c r="H61" s="136" t="s">
        <v>120</v>
      </c>
      <c r="I61" s="137">
        <v>9</v>
      </c>
      <c r="J61" s="138" t="s">
        <v>120</v>
      </c>
      <c r="K61" s="139">
        <f t="shared" si="6"/>
        <v>0.34999999999999964</v>
      </c>
      <c r="L61" s="140" t="s">
        <v>125</v>
      </c>
      <c r="M61" s="165"/>
      <c r="N61" s="165" t="s">
        <v>232</v>
      </c>
      <c r="O61" s="1"/>
      <c r="Q61" s="1"/>
      <c r="R61" s="1"/>
    </row>
    <row r="62" spans="1:18" ht="40.5" x14ac:dyDescent="0.25">
      <c r="A62" s="133" t="s">
        <v>140</v>
      </c>
      <c r="B62" s="170" t="s">
        <v>242</v>
      </c>
      <c r="C62" s="169" t="s">
        <v>243</v>
      </c>
      <c r="D62" s="174" t="s">
        <v>215</v>
      </c>
      <c r="E62" s="198" t="s">
        <v>204</v>
      </c>
      <c r="F62" s="198" t="s">
        <v>205</v>
      </c>
      <c r="G62" s="205" t="s">
        <v>155</v>
      </c>
      <c r="H62" s="205"/>
      <c r="I62" s="206" t="s">
        <v>148</v>
      </c>
      <c r="J62" s="206"/>
      <c r="K62" s="206" t="s">
        <v>217</v>
      </c>
      <c r="L62" s="206"/>
      <c r="M62" s="203" t="s">
        <v>223</v>
      </c>
      <c r="N62" s="204"/>
      <c r="O62" s="1"/>
      <c r="Q62" s="1"/>
      <c r="R62" s="1"/>
    </row>
    <row r="63" spans="1:18" ht="25.15" customHeight="1" x14ac:dyDescent="0.25">
      <c r="A63" s="130" t="s">
        <v>159</v>
      </c>
      <c r="B63" s="166"/>
      <c r="C63" s="167"/>
      <c r="D63" s="175"/>
      <c r="E63" s="134">
        <f>'餅乾庫存(製作)'!E63</f>
        <v>58</v>
      </c>
      <c r="F63" s="134">
        <f>'餅乾庫存(製作)'!F63</f>
        <v>91</v>
      </c>
      <c r="G63" s="210"/>
      <c r="H63" s="210"/>
      <c r="I63" s="222"/>
      <c r="J63" s="222"/>
      <c r="K63" s="222"/>
      <c r="L63" s="222"/>
      <c r="M63" s="225"/>
      <c r="N63" s="226"/>
      <c r="O63" s="1"/>
      <c r="Q63" s="1"/>
      <c r="R63" s="1"/>
    </row>
    <row r="64" spans="1:18" ht="25.15" customHeight="1" x14ac:dyDescent="0.25">
      <c r="A64" s="130" t="s">
        <v>124</v>
      </c>
      <c r="B64" s="199">
        <f>'餅乾庫存(製作)'!B64</f>
        <v>15</v>
      </c>
      <c r="C64" s="182">
        <f>'餅乾庫存(製作)'!C64</f>
        <v>8.9250000000000007</v>
      </c>
      <c r="D64" s="176">
        <f>'餅乾庫存(製作)'!D64</f>
        <v>32</v>
      </c>
      <c r="E64" s="134">
        <f>'餅乾庫存(製作)'!E64</f>
        <v>22</v>
      </c>
      <c r="F64" s="134">
        <f>'餅乾庫存(製作)'!F64</f>
        <v>32</v>
      </c>
      <c r="G64" s="135">
        <f>(B64-((('餅乾庫存(製作)'!G64*7)+('餅乾庫存(製作)'!H64*90)+('餅乾庫存(製作)'!I64*135)+('餅乾庫存(製作)'!H63*15)+('餅乾庫存(製作)'!I63*22.5))/300)+(((D64*7)+(E64*90)+(F64*135))/300))/2+(M64/2)</f>
        <v>15.335833333333333</v>
      </c>
      <c r="H64" s="136" t="s">
        <v>120</v>
      </c>
      <c r="I64" s="137">
        <v>28</v>
      </c>
      <c r="J64" s="138" t="s">
        <v>120</v>
      </c>
      <c r="K64" s="139">
        <f>MAX(0,I64-G64)</f>
        <v>12.664166666666667</v>
      </c>
      <c r="L64" s="140" t="s">
        <v>125</v>
      </c>
      <c r="M64" s="165"/>
      <c r="N64" s="165" t="s">
        <v>232</v>
      </c>
      <c r="O64" s="1"/>
      <c r="Q64" s="1"/>
      <c r="R64" s="1"/>
    </row>
    <row r="65" spans="1:18" ht="25.15" customHeight="1" x14ac:dyDescent="0.25">
      <c r="A65" s="130" t="s">
        <v>128</v>
      </c>
      <c r="B65" s="199">
        <f>'餅乾庫存(製作)'!B65</f>
        <v>17.783333333333331</v>
      </c>
      <c r="C65" s="182">
        <f>'餅乾庫存(製作)'!C65</f>
        <v>11.708333333333332</v>
      </c>
      <c r="D65" s="176">
        <f>'餅乾庫存(製作)'!D65</f>
        <v>81</v>
      </c>
      <c r="E65" s="134">
        <f>'餅乾庫存(製作)'!E65</f>
        <v>30</v>
      </c>
      <c r="F65" s="154"/>
      <c r="G65" s="135">
        <f>(B65-((('餅乾庫存(製作)'!G65*7)+('餅乾庫存(製作)'!H65*90)+('餅乾庫存(製作)'!I65*135)+('餅乾庫存(製作)'!H63*15)+('餅乾庫存(製作)'!I63*22.5))/300)+(((D65*7)+(E65*90)+(F65*135))/300))/2+(M65/2)</f>
        <v>11.299166666666666</v>
      </c>
      <c r="H65" s="136" t="s">
        <v>120</v>
      </c>
      <c r="I65" s="137">
        <v>23</v>
      </c>
      <c r="J65" s="138" t="s">
        <v>120</v>
      </c>
      <c r="K65" s="139">
        <f>MAX(0,I65-G65)</f>
        <v>11.700833333333334</v>
      </c>
      <c r="L65" s="138" t="s">
        <v>120</v>
      </c>
      <c r="M65" s="165"/>
      <c r="N65" s="165" t="s">
        <v>232</v>
      </c>
      <c r="O65" s="1"/>
      <c r="Q65" s="1"/>
      <c r="R65" s="1"/>
    </row>
    <row r="66" spans="1:18" ht="25.15" customHeight="1" x14ac:dyDescent="0.25">
      <c r="A66" s="130" t="s">
        <v>127</v>
      </c>
      <c r="B66" s="199">
        <f>'餅乾庫存(製作)'!B66</f>
        <v>12</v>
      </c>
      <c r="C66" s="182">
        <f>'餅乾庫存(製作)'!C66</f>
        <v>5.9249999999999998</v>
      </c>
      <c r="D66" s="176">
        <f>'餅乾庫存(製作)'!D66</f>
        <v>44</v>
      </c>
      <c r="E66" s="134">
        <f>'餅乾庫存(製作)'!E66</f>
        <v>43</v>
      </c>
      <c r="F66" s="154"/>
      <c r="G66" s="135">
        <f>(B66-((('餅乾庫存(製作)'!G66*7)+('餅乾庫存(製作)'!H66*90)+('餅乾庫存(製作)'!I66*135)+('餅乾庫存(製作)'!H63*15)+('餅乾庫存(製作)'!I63*22.5))/300)+(((D66*7)+(E66*90)+(F66*135))/300))/2+(M66/2)</f>
        <v>9.9258333333333333</v>
      </c>
      <c r="H66" s="136" t="s">
        <v>120</v>
      </c>
      <c r="I66" s="137">
        <v>18</v>
      </c>
      <c r="J66" s="138" t="s">
        <v>120</v>
      </c>
      <c r="K66" s="139">
        <f>MAX(0,I66-G66)</f>
        <v>8.0741666666666667</v>
      </c>
      <c r="L66" s="140" t="s">
        <v>125</v>
      </c>
      <c r="M66" s="165"/>
      <c r="N66" s="165" t="s">
        <v>232</v>
      </c>
      <c r="O66" s="1"/>
      <c r="Q66" s="1"/>
      <c r="R66" s="1"/>
    </row>
    <row r="67" spans="1:18" ht="25.15" customHeight="1" x14ac:dyDescent="0.25">
      <c r="A67" s="130" t="s">
        <v>126</v>
      </c>
      <c r="B67" s="199">
        <f>'餅乾庫存(製作)'!B67</f>
        <v>8</v>
      </c>
      <c r="C67" s="182">
        <f>'餅乾庫存(製作)'!C67</f>
        <v>1.9249999999999998</v>
      </c>
      <c r="D67" s="176">
        <f>'餅乾庫存(製作)'!D67</f>
        <v>0</v>
      </c>
      <c r="E67" s="134">
        <f>'餅乾庫存(製作)'!E67</f>
        <v>38</v>
      </c>
      <c r="F67" s="154"/>
      <c r="G67" s="135">
        <f>(B67-((('餅乾庫存(製作)'!G67*7)+('餅乾庫存(製作)'!H67*90)+('餅乾庫存(製作)'!I67*135)+('餅乾庫存(製作)'!H63*15)+('餅乾庫存(製作)'!I63*22.5))/300)+(((D67*7)+(E67*90)+(F67*135))/300))/2+(M67/2)</f>
        <v>6.6624999999999996</v>
      </c>
      <c r="H67" s="136" t="s">
        <v>120</v>
      </c>
      <c r="I67" s="137">
        <v>15</v>
      </c>
      <c r="J67" s="138" t="s">
        <v>120</v>
      </c>
      <c r="K67" s="139">
        <f t="shared" ref="K67:M70" si="7">MAX(0,I67-G67)</f>
        <v>8.3375000000000004</v>
      </c>
      <c r="L67" s="140" t="s">
        <v>125</v>
      </c>
      <c r="M67" s="165"/>
      <c r="N67" s="165" t="s">
        <v>232</v>
      </c>
      <c r="O67" s="1"/>
      <c r="Q67" s="1"/>
      <c r="R67" s="1"/>
    </row>
    <row r="68" spans="1:18" ht="25.15" customHeight="1" x14ac:dyDescent="0.25">
      <c r="A68" s="130" t="s">
        <v>129</v>
      </c>
      <c r="B68" s="199">
        <f>'餅乾庫存(製作)'!B68</f>
        <v>9.5</v>
      </c>
      <c r="C68" s="182">
        <f>'餅乾庫存(製作)'!C68</f>
        <v>3.4249999999999998</v>
      </c>
      <c r="D68" s="176">
        <f>'餅乾庫存(製作)'!D68</f>
        <v>0</v>
      </c>
      <c r="E68" s="134">
        <f>'餅乾庫存(製作)'!E68</f>
        <v>34</v>
      </c>
      <c r="F68" s="154"/>
      <c r="G68" s="135">
        <f>(B68-((('餅乾庫存(製作)'!G68*7)+('餅乾庫存(製作)'!H68*90)+('餅乾庫存(製作)'!I68*135)+('餅乾庫存(製作)'!H63*15)+('餅乾庫存(製作)'!I63*22.5))/300)+(((D68*7)+(E68*90)+(F68*135))/300))/2+(M68/2)</f>
        <v>6.8125</v>
      </c>
      <c r="H68" s="136" t="s">
        <v>120</v>
      </c>
      <c r="I68" s="137">
        <v>28</v>
      </c>
      <c r="J68" s="138" t="s">
        <v>120</v>
      </c>
      <c r="K68" s="139">
        <f t="shared" si="7"/>
        <v>21.1875</v>
      </c>
      <c r="L68" s="140" t="s">
        <v>125</v>
      </c>
      <c r="M68" s="165"/>
      <c r="N68" s="165" t="s">
        <v>232</v>
      </c>
      <c r="O68" s="1"/>
      <c r="Q68" s="1"/>
      <c r="R68" s="1"/>
    </row>
    <row r="69" spans="1:18" ht="67.5" x14ac:dyDescent="0.25">
      <c r="A69" s="133" t="s">
        <v>245</v>
      </c>
      <c r="B69" s="203" t="s">
        <v>250</v>
      </c>
      <c r="C69" s="204"/>
      <c r="D69" s="170" t="s">
        <v>234</v>
      </c>
      <c r="E69" s="169" t="s">
        <v>235</v>
      </c>
      <c r="F69" s="174" t="s">
        <v>215</v>
      </c>
      <c r="G69" s="157" t="s">
        <v>247</v>
      </c>
      <c r="H69" s="157" t="s">
        <v>205</v>
      </c>
      <c r="I69" s="205" t="s">
        <v>155</v>
      </c>
      <c r="J69" s="205"/>
      <c r="K69" s="206" t="s">
        <v>148</v>
      </c>
      <c r="L69" s="206"/>
      <c r="M69" s="206" t="s">
        <v>217</v>
      </c>
      <c r="N69" s="206"/>
      <c r="O69" s="1"/>
      <c r="Q69" s="1"/>
      <c r="R69" s="1"/>
    </row>
    <row r="70" spans="1:18" ht="25.15" customHeight="1" x14ac:dyDescent="0.25">
      <c r="A70" s="131" t="s">
        <v>246</v>
      </c>
      <c r="B70" s="165"/>
      <c r="C70" s="165" t="s">
        <v>221</v>
      </c>
      <c r="D70" s="166"/>
      <c r="E70" s="167"/>
      <c r="F70" s="192"/>
      <c r="G70" s="134">
        <f>'餅乾庫存(製作)'!E70</f>
        <v>190</v>
      </c>
      <c r="H70" s="154"/>
      <c r="I70" s="135">
        <f>G70</f>
        <v>190</v>
      </c>
      <c r="J70" s="141" t="s">
        <v>123</v>
      </c>
      <c r="K70" s="142">
        <v>30</v>
      </c>
      <c r="L70" s="140" t="s">
        <v>123</v>
      </c>
      <c r="M70" s="139">
        <f t="shared" si="7"/>
        <v>0</v>
      </c>
      <c r="N70" s="140" t="s">
        <v>123</v>
      </c>
      <c r="O70" s="1"/>
      <c r="Q70" s="1"/>
      <c r="R70" s="1"/>
    </row>
  </sheetData>
  <mergeCells count="64">
    <mergeCell ref="G63:H63"/>
    <mergeCell ref="I63:J63"/>
    <mergeCell ref="K63:L63"/>
    <mergeCell ref="M63:N63"/>
    <mergeCell ref="A1:N1"/>
    <mergeCell ref="L2:N2"/>
    <mergeCell ref="G56:H56"/>
    <mergeCell ref="I56:J56"/>
    <mergeCell ref="K56:L56"/>
    <mergeCell ref="M56:N56"/>
    <mergeCell ref="G62:H62"/>
    <mergeCell ref="I62:J62"/>
    <mergeCell ref="K62:L62"/>
    <mergeCell ref="M62:N62"/>
    <mergeCell ref="I47:J47"/>
    <mergeCell ref="K47:L47"/>
    <mergeCell ref="J45:K45"/>
    <mergeCell ref="L45:M45"/>
    <mergeCell ref="M47:N47"/>
    <mergeCell ref="B47:C47"/>
    <mergeCell ref="I55:J55"/>
    <mergeCell ref="K55:L55"/>
    <mergeCell ref="M55:N55"/>
    <mergeCell ref="B55:C55"/>
    <mergeCell ref="E14:F14"/>
    <mergeCell ref="J36:K36"/>
    <mergeCell ref="D37:E37"/>
    <mergeCell ref="D38:E38"/>
    <mergeCell ref="D39:E39"/>
    <mergeCell ref="D36:E36"/>
    <mergeCell ref="F36:G36"/>
    <mergeCell ref="H36:I36"/>
    <mergeCell ref="B14:C14"/>
    <mergeCell ref="B23:C23"/>
    <mergeCell ref="A2:B2"/>
    <mergeCell ref="J2:K2"/>
    <mergeCell ref="E3:F3"/>
    <mergeCell ref="G3:H3"/>
    <mergeCell ref="I3:J3"/>
    <mergeCell ref="B3:C3"/>
    <mergeCell ref="E23:F23"/>
    <mergeCell ref="G23:H23"/>
    <mergeCell ref="I23:J23"/>
    <mergeCell ref="G14:H14"/>
    <mergeCell ref="I14:J14"/>
    <mergeCell ref="E17:F17"/>
    <mergeCell ref="G17:H17"/>
    <mergeCell ref="I17:J17"/>
    <mergeCell ref="B69:C69"/>
    <mergeCell ref="I69:J69"/>
    <mergeCell ref="K69:L69"/>
    <mergeCell ref="M69:N69"/>
    <mergeCell ref="B17:C17"/>
    <mergeCell ref="I46:J46"/>
    <mergeCell ref="K46:L46"/>
    <mergeCell ref="M46:N46"/>
    <mergeCell ref="B46:C46"/>
    <mergeCell ref="D40:E40"/>
    <mergeCell ref="D41:E41"/>
    <mergeCell ref="H42:I42"/>
    <mergeCell ref="J42:K42"/>
    <mergeCell ref="L42:M42"/>
    <mergeCell ref="B42:C42"/>
    <mergeCell ref="H45:I45"/>
  </mergeCells>
  <phoneticPr fontId="1" type="noConversion"/>
  <printOptions horizontalCentered="1" verticalCentered="1"/>
  <pageMargins left="0.19685039370078741" right="0.19685039370078741" top="0.19685039370078741" bottom="0.19685039370078741" header="0.31496062992125984" footer="0.31496062992125984"/>
  <pageSetup paperSize="9" fitToHeight="0" orientation="portrait" r:id="rId1"/>
  <rowBreaks count="2" manualBreakCount="2">
    <brk id="22" max="16383" man="1"/>
    <brk id="45" max="16383" man="1"/>
  </rowBreak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3</vt:i4>
      </vt:variant>
      <vt:variant>
        <vt:lpstr>具名範圍</vt:lpstr>
      </vt:variant>
      <vt:variant>
        <vt:i4>3</vt:i4>
      </vt:variant>
    </vt:vector>
  </HeadingPairs>
  <TitlesOfParts>
    <vt:vector size="6" baseType="lpstr">
      <vt:lpstr>出貨統計表</vt:lpstr>
      <vt:lpstr>餅乾庫存(製作)</vt:lpstr>
      <vt:lpstr>餅乾庫存(叫貨 )</vt:lpstr>
      <vt:lpstr>出貨統計表!Print_Area</vt:lpstr>
      <vt:lpstr>'餅乾庫存(叫貨 )'!Print_Area</vt:lpstr>
      <vt:lpstr>'餅乾庫存(製作)'!Print_Area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2026-03-25T09:56:16Z</dcterms:modified>
</cp:coreProperties>
</file>